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SorourLogistics\"/>
    </mc:Choice>
  </mc:AlternateContent>
  <xr:revisionPtr revIDLastSave="0" documentId="13_ncr:1_{960B0761-6D30-43A9-98BD-E134E45837C6}" xr6:coauthVersionLast="47" xr6:coauthVersionMax="47" xr10:uidLastSave="{00000000-0000-0000-0000-000000000000}"/>
  <bookViews>
    <workbookView xWindow="-108" yWindow="-108" windowWidth="23256" windowHeight="12456" activeTab="2" xr2:uid="{00000000-000D-0000-FFFF-FFFF00000000}"/>
  </bookViews>
  <sheets>
    <sheet name="لوحة المتابعة ونسبة الإنجاز" sheetId="1" r:id="rId1"/>
    <sheet name="قائمة مهام تجربة النظام" sheetId="2" r:id="rId2"/>
    <sheet name="دليل سيناريو التجربة السريعة" sheetId="3" r:id="rId3"/>
  </sheets>
  <definedNames>
    <definedName name="_xlnm._FilterDatabase" localSheetId="1" hidden="1">'قائمة مهام تجربة النظام'!$A$4:$K$50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6" i="1" l="1"/>
  <c r="F26" i="1"/>
  <c r="E26" i="1"/>
  <c r="H26" i="1" s="1"/>
  <c r="D26" i="1"/>
  <c r="G25" i="1"/>
  <c r="F25" i="1"/>
  <c r="E25" i="1"/>
  <c r="H25" i="1" s="1"/>
  <c r="D25" i="1"/>
  <c r="H24" i="1"/>
  <c r="G24" i="1"/>
  <c r="F24" i="1"/>
  <c r="E24" i="1"/>
  <c r="D24" i="1"/>
  <c r="G23" i="1"/>
  <c r="F23" i="1"/>
  <c r="E23" i="1"/>
  <c r="H23" i="1" s="1"/>
  <c r="D23" i="1"/>
  <c r="G22" i="1"/>
  <c r="F22" i="1"/>
  <c r="E22" i="1"/>
  <c r="H22" i="1" s="1"/>
  <c r="D22" i="1"/>
  <c r="G21" i="1"/>
  <c r="F21" i="1"/>
  <c r="E21" i="1"/>
  <c r="H21" i="1" s="1"/>
  <c r="D21" i="1"/>
  <c r="G20" i="1"/>
  <c r="F20" i="1"/>
  <c r="E20" i="1"/>
  <c r="H20" i="1" s="1"/>
  <c r="D20" i="1"/>
  <c r="H19" i="1"/>
  <c r="G19" i="1"/>
  <c r="F19" i="1"/>
  <c r="E19" i="1"/>
  <c r="D19" i="1"/>
  <c r="G18" i="1"/>
  <c r="F18" i="1"/>
  <c r="E18" i="1"/>
  <c r="H18" i="1" s="1"/>
  <c r="D18" i="1"/>
  <c r="G17" i="1"/>
  <c r="F17" i="1"/>
  <c r="E17" i="1"/>
  <c r="H17" i="1" s="1"/>
  <c r="D17" i="1"/>
  <c r="I11" i="1"/>
  <c r="H11" i="1"/>
  <c r="F11" i="1"/>
  <c r="D11" i="1"/>
  <c r="B11" i="1"/>
</calcChain>
</file>

<file path=xl/sharedStrings.xml><?xml version="1.0" encoding="utf-8"?>
<sst xmlns="http://schemas.openxmlformats.org/spreadsheetml/2006/main" count="358" uniqueCount="275">
  <si>
    <t>نظام ImportFlow ERP — لوحة متابعة تجربة المستخدم واعتماد النظام</t>
  </si>
  <si>
    <t>متابعة حية لحالات الاختبار وملاحظات العميل والتعديلات المطلوبة لكافة مراحل دورة الاستيراد</t>
  </si>
  <si>
    <t>📌 إرشادات استخدام الشيت:
1. انتقل إلى الشيت الثاني (قائمة مهام تجربة النظام) لتنفيذ سيناريو التجربة خطوة بخطوة.
2. اختر حالة التجربة من القائمة المنسدلة لكل بند (لم تبدأ / قيد التجربة / تم بنجاح ✅ / يوجد ملاحظة ⚠️ / يحتاج تعديل ❌).
3. سجل أي ملاحظات أو تعديلات مطلوبة في عمود (ملاحظات العميل والتعديلات المطلوبة)، وستتحدث مؤشرات الإنجاز هنا تلقائياً.</t>
  </si>
  <si>
    <t>إجمالي بنود الاختبار</t>
  </si>
  <si>
    <t>تم بنجاح ✅</t>
  </si>
  <si>
    <t>يوجد ملاحظات ⚠️</t>
  </si>
  <si>
    <t>يحتاج تعديل ❌</t>
  </si>
  <si>
    <t>نسبة الإنجاز الكلية</t>
  </si>
  <si>
    <t>📊 ملخص الإنجاز حسب مراحل دورة الاستيراد</t>
  </si>
  <si>
    <t>المرحلة</t>
  </si>
  <si>
    <t>اسم المرحلة</t>
  </si>
  <si>
    <t>عدد الاختبارات</t>
  </si>
  <si>
    <t>تم بنجاح</t>
  </si>
  <si>
    <t>يوجد ملاحظات</t>
  </si>
  <si>
    <t>لم تبدأ / معلقة</t>
  </si>
  <si>
    <t>نسبة إنجاز المرحلة</t>
  </si>
  <si>
    <t>المرحلة 0</t>
  </si>
  <si>
    <t>التكويد الذكي والبيانات المرجعية (Master Data)</t>
  </si>
  <si>
    <t>المرحلة 1</t>
  </si>
  <si>
    <t>التخطيط الاستيرادي وأوامر الشراء وحاسبة CBM</t>
  </si>
  <si>
    <t>المرحلة 2</t>
  </si>
  <si>
    <t>الموافقات المالية والميزانية والتحويلات</t>
  </si>
  <si>
    <t>المرحلة 3</t>
  </si>
  <si>
    <t>التوثيق ونافذة وتتبع صلاحية ACID</t>
  </si>
  <si>
    <t>المرحلة 4</t>
  </si>
  <si>
    <t>حجز الشحن وفترات السماح المجانية</t>
  </si>
  <si>
    <t>المرحلة 5</t>
  </si>
  <si>
    <t>الإبحار والمراجعة المزدوجة و CargoX</t>
  </si>
  <si>
    <t>المرحلة 6</t>
  </si>
  <si>
    <t>الإعداد الجمركي ونموذج 46 ك.م</t>
  </si>
  <si>
    <t>المرحلة 7</t>
  </si>
  <si>
    <t>التخليص الفعلي وسداد الرسوم والإفراج</t>
  </si>
  <si>
    <t>المرحلة 8</t>
  </si>
  <si>
    <t>النقل الداخلي والمخازن وتفادي الغرامات</t>
  </si>
  <si>
    <t>المرحلة 9</t>
  </si>
  <si>
    <t>تكلفة الوصول الختامية وإغلاق الملف</t>
  </si>
  <si>
    <t>قائمة المهام وسيناريو التجربة الحية الكامل لنظام ImportFlow ERP</t>
  </si>
  <si>
    <t>م</t>
  </si>
  <si>
    <t>الكود</t>
  </si>
  <si>
    <t>الإجراء / الأداة الذكية / الإدخال</t>
  </si>
  <si>
    <t>الشاشة والمسار في النظام</t>
  </si>
  <si>
    <t>ما يظهر في الداش بورد والتنبيهات ودورة الحياة</t>
  </si>
  <si>
    <t>حالة التجربة</t>
  </si>
  <si>
    <t>تاريخ التجربة</t>
  </si>
  <si>
    <t>القائم بالتجربة</t>
  </si>
  <si>
    <t>ملاحظات العميل والتعديلات المطلوبة</t>
  </si>
  <si>
    <t>قرار ومتابعة فريق التطوير</t>
  </si>
  <si>
    <t>0. البيانات المرجعية</t>
  </si>
  <si>
    <t>MD-01</t>
  </si>
  <si>
    <t>تكويد شركة مستوردة جديدة</t>
  </si>
  <si>
    <t>Master Data &gt; الشركات المستوردة</t>
  </si>
  <si>
    <t>إدخال الاسم، السجل، البطاقة الضريبية، القيد الاستيرادي والمفوضين -&gt; تظهر فوراً في قوائم الاختيار الذكية مع البحث الفوري</t>
  </si>
  <si>
    <t>لم تبدأ</t>
  </si>
  <si>
    <t>MD-02</t>
  </si>
  <si>
    <t>تكويد مورد أجنبي وبيانات الاتصال</t>
  </si>
  <si>
    <t>Master Data &gt; الموردون الأجانب</t>
  </si>
  <si>
    <t>إدخال الاسم، الدولة، العملة، ورقم CargoX -&gt; ربطه الذكي بقائمة الموردين المعتمدين</t>
  </si>
  <si>
    <t>MD-03</t>
  </si>
  <si>
    <t>تكويد بنك محلي / أجنبي</t>
  </si>
  <si>
    <t>Master Data &gt; شركاء الأعمال &gt; بنك</t>
  </si>
  <si>
    <t>إدخال اسم البنك والسويفت كود والحسابات -&gt; يتاح فوراً في شاشات طلبات السداد والاعتمادات</t>
  </si>
  <si>
    <t>MD-04</t>
  </si>
  <si>
    <t>تكويد خط ملاحي وفترات السماح</t>
  </si>
  <si>
    <t>Master Data &gt; شركاء الأعمال &gt; خط ملاحي</t>
  </si>
  <si>
    <t>تسجيل اسم الخط وأيام السماح الافتراضية (Free Days) -&gt; تغذي محرك تنبيهات الغرامات</t>
  </si>
  <si>
    <t>MD-05</t>
  </si>
  <si>
    <t>تكويد وكيل شحن (Freight Forwarder)</t>
  </si>
  <si>
    <t>Master Data &gt; شركاء الأعمال &gt; وكيل شحن</t>
  </si>
  <si>
    <t>تسجيل الوكيل وطرق الشحن والعملات -&gt; يظهر في طلب عروض الأسعار المقارنة (RFQ)</t>
  </si>
  <si>
    <t>MD-06</t>
  </si>
  <si>
    <t>تكويد شركة فحص ومعاينة (Inspection)</t>
  </si>
  <si>
    <t>Master Data &gt; شركاء الأعمال &gt; فحص</t>
  </si>
  <si>
    <t>تسجيل شركات مثل SGS و TÜV -&gt; تظهر في شاشات الفحص الفني والمطابقة</t>
  </si>
  <si>
    <t>MD-07</t>
  </si>
  <si>
    <t>تكويد مخلص جمركي والموانئ المعتمدة</t>
  </si>
  <si>
    <t>Master Data &gt; شركاء الأعمال &gt; مخلص</t>
  </si>
  <si>
    <t>تسجيل المخلص، رخصته، والموانئ التي يعمل بها -&gt; يظهر في شاشة تعيين المخلصين</t>
  </si>
  <si>
    <t>MD-08</t>
  </si>
  <si>
    <t>تكويد شركة نقل داخلي وتأمين</t>
  </si>
  <si>
    <t>Master Data &gt; شركاء الأعمال &gt; نقل/تأمين</t>
  </si>
  <si>
    <t>تسجيل أسطول النقل وشركات التأمين -&gt; تتاح في مراحل التوزيع والنقل المخزني</t>
  </si>
  <si>
    <t>MD-09</t>
  </si>
  <si>
    <t>التحقق من الموانئ والتعريفة وأسعار الصرف</t>
  </si>
  <si>
    <t>Master Data &gt; الموانئ / التعريفة</t>
  </si>
  <si>
    <t>جاهزية آلاف الموانئ العالمية والبنود الجمركية وأسعار العملات الرسمية المحدثة</t>
  </si>
  <si>
    <t>1. التخطيط وأوامر الشراء</t>
  </si>
  <si>
    <t>PL-01</t>
  </si>
  <si>
    <t>فتح مشروع استيرادي جديد</t>
  </si>
  <si>
    <t>المشاريع الاستيرادية &gt; مشروع جديد</t>
  </si>
  <si>
    <t>ظهور المشروع في الداش بورد وتتبع الميزانية التقديرية وتاريخ الانتهاء المستهدف</t>
  </si>
  <si>
    <t>PL-02</t>
  </si>
  <si>
    <t>فتح ملف شحنة استيرادية جديد</t>
  </si>
  <si>
    <t>ملفات الاستيراد &gt; ملف جديد</t>
  </si>
  <si>
    <t>زيادة عداد الشحنات النشطة، وظهور الملف في لوحة دورة الحياة بحالة Draft / Planning</t>
  </si>
  <si>
    <t>PL-03</t>
  </si>
  <si>
    <t>تسجيل وربط أمر الشراء (PO)</t>
  </si>
  <si>
    <t>ملف الشحنة &gt; أوامر الشراء</t>
  </si>
  <si>
    <t>ربط الأصناف والكميات والأسعار -&gt; تحديث الالتزامات المالية للمشروع في الداش بورد</t>
  </si>
  <si>
    <t>PL-04</t>
  </si>
  <si>
    <t>أداة الاستخلاص الذكي للفواتير والباكينج</t>
  </si>
  <si>
    <t>ملف الشحنة &gt; رفع المستندات الذكي</t>
  </si>
  <si>
    <t>رفع PI/Packing List واستخلاص الأصناف والكميات والأوزان والشروط آلياً بدقة</t>
  </si>
  <si>
    <t>PL-05</t>
  </si>
  <si>
    <t>حاسبة الأحجام CBM وتوزيع الحاويات 3D</t>
  </si>
  <si>
    <t>ملف الشحنة &gt; حاسبة الحجم والـ CBM</t>
  </si>
  <si>
    <t>احتساب الحجم والوزن الحجمي ومحاكاة التحميل واقتراح أفضل سعة حاوية (20/40/40HQ)</t>
  </si>
  <si>
    <t>PL-06</t>
  </si>
  <si>
    <t>دراسة سيناريوهات وعروض أسعار الشحن</t>
  </si>
  <si>
    <t>ملف الشحنة &gt; دراسة الشحن (RFQ)</t>
  </si>
  <si>
    <t>تسجيل عروض أسعار النولون والمقارنة الآلية واختيار العرض الفائز الأقل تكلفة</t>
  </si>
  <si>
    <t>PL-07</t>
  </si>
  <si>
    <t>المحاكاة الجمركية واحتساب الرسوم بنافذة</t>
  </si>
  <si>
    <t>ملف الشحنة &gt; المحرك الجمركي</t>
  </si>
  <si>
    <t>استخلاص نسب الجمارك وضريبة الجدول والقيمة المضافة واشتراطات العرض الرقابي</t>
  </si>
  <si>
    <t>PL-08</t>
  </si>
  <si>
    <t>محاكاة تكلفة الوصول التقديرية (Landed Cost)</t>
  </si>
  <si>
    <t>ملف الشحنة &gt; التكلفة التقديرية</t>
  </si>
  <si>
    <t>حساب تكلفة القطعة الواحدة شاملة النولون والجمارك والمصاريف قبل الشحن</t>
  </si>
  <si>
    <t>2. الموافقات المالية</t>
  </si>
  <si>
    <t>FN-01</t>
  </si>
  <si>
    <t>إصدار طلب سداد الدفعة المقدمة للمورد</t>
  </si>
  <si>
    <t>ملف الشحنة &gt; المالية والمصروفات</t>
  </si>
  <si>
    <t>ظهور تنبيه ومهمة تلقائية للإدارة المالية بسداد الدفعة وحساب السويفت</t>
  </si>
  <si>
    <t>FN-02</t>
  </si>
  <si>
    <t>اعتماد الميزانية وتسجيل السويفت البنكي</t>
  </si>
  <si>
    <t>المالية &gt; اعتماد السداد</t>
  </si>
  <si>
    <t>تحديث كروت السيولة والمدفوعات بالداش بورد وانتقال الشحنة لطلب الـ ACID</t>
  </si>
  <si>
    <t>3. التوثيق ونافذة وACID</t>
  </si>
  <si>
    <t>DC-01</t>
  </si>
  <si>
    <t>طلب وتسجيل رقم القيد الجمركي (ACID)</t>
  </si>
  <si>
    <t>ملف الشحنة &gt; بيانات نافذة و ACID</t>
  </si>
  <si>
    <t>ظهور شارة الـ ACID الخضراء بالداش بورد وربط رقم القيد بكافة وثائق الشحنة</t>
  </si>
  <si>
    <t>DC-02</t>
  </si>
  <si>
    <t>أداة مراقبة وتتبع صلاحية ACID التلقائية</t>
  </si>
  <si>
    <t>الداش بورد &gt; رادار ACID</t>
  </si>
  <si>
    <t>عرض عداد الأيام المتبقية وتنبيه آلي قبل الانتهاء بـ 14 يوم وحظر الإفراج بعد الانتهاء</t>
  </si>
  <si>
    <t>DC-03</t>
  </si>
  <si>
    <t>ربط الاعتماد المستندي أو نموذج 4</t>
  </si>
  <si>
    <t>ملف الشحنة &gt; المستندات البنكية</t>
  </si>
  <si>
    <t>تسجيل رقم نموذج 4 أو الـ LC وتحديث حالة المستندات المطلوبة للإفراج</t>
  </si>
  <si>
    <t>DC-04</t>
  </si>
  <si>
    <t>مصفوفة فحص واستكمال مستندات الشحن</t>
  </si>
  <si>
    <t>ملف الشحنة &gt; مصفوفة المستندات</t>
  </si>
  <si>
    <t>متابعة شهادة المنشأ، الفاتورة الموثقة، شهادات الفحص، والتبخير مع تنبيه النواقص</t>
  </si>
  <si>
    <t>4. حجز الشحن</t>
  </si>
  <si>
    <t>BK-01</t>
  </si>
  <si>
    <t>تأكيد حجز الشحن والخط الملاحي</t>
  </si>
  <si>
    <t>ملف الشحنة &gt; بيانات الشحن</t>
  </si>
  <si>
    <t>تسجيل Booking No، السفينة، الـ ETD والـ ETA وانتقال الشحنة لجدول الشحنات القادمة</t>
  </si>
  <si>
    <t>BK-02</t>
  </si>
  <si>
    <t>تسجيل فترات السماح المجانية للحاويات</t>
  </si>
  <si>
    <t>ملف الشحنة &gt; فترات السماح</t>
  </si>
  <si>
    <t>تغذية محرك حساب غرامات التأخير بعدد أيام السماح (Free Days) المتفق عليها</t>
  </si>
  <si>
    <t>5. الإبحار و CargoX</t>
  </si>
  <si>
    <t>SH-01</t>
  </si>
  <si>
    <t>تأكيد الإبحار الفعلي ورقم بوليصة الشحن</t>
  </si>
  <si>
    <t>ملف الشحنة &gt; التتبع الملاحي</t>
  </si>
  <si>
    <t>انتقال الشحنة إلى مؤشر In-Transit / On Water وتحديث موعد الوصول المتوقع</t>
  </si>
  <si>
    <t>SH-02</t>
  </si>
  <si>
    <t>أداة المراجعة المزدوجة لبوالص الشحن</t>
  </si>
  <si>
    <t>ملف الشحنة &gt; مراجعة Draft B/L</t>
  </si>
  <si>
    <t>مطابقة بيانات البوليصة آلياً مع الـ PO والفاتورة لمنع أخطاء التعديل الجمركي</t>
  </si>
  <si>
    <t>SH-03</t>
  </si>
  <si>
    <t>منصة النقل الرقمي CargoX واعتماد الملفات</t>
  </si>
  <si>
    <t>ملف الشحنة &gt; مستندات CargoX</t>
  </si>
  <si>
    <t>تسجيل رقم المظروف (Envelope ID) وتأكيد اعتماد وختم الوثائق إلكترونياً</t>
  </si>
  <si>
    <t>SH-04</t>
  </si>
  <si>
    <t>استلام وتوثيق أصول المستندات البنكية</t>
  </si>
  <si>
    <t>ملف الشحنة &gt; تتبع أصول المستندات</t>
  </si>
  <si>
    <t>تسجيل استلام أصول المستندات من البنك لتقديمها في التخليص الجمركي</t>
  </si>
  <si>
    <t>6. الإعداد الجمركي (46)</t>
  </si>
  <si>
    <t>CS-01</t>
  </si>
  <si>
    <t>تعيين المخلص الجمركي والتفويض الإلكتروني</t>
  </si>
  <si>
    <t>ملف الشحنة &gt; التخليص الجمركي</t>
  </si>
  <si>
    <t>توليد تفويض المخلص إلكترونياً وإرسال إشعار ببدء تجهيز الإقرار الجمركي</t>
  </si>
  <si>
    <t>CS-02</t>
  </si>
  <si>
    <t>سداد إذن التسليم الملاحي واستلام D/O</t>
  </si>
  <si>
    <t>ملف الشحنة &gt; التوكيل الملاحي</t>
  </si>
  <si>
    <t>تسجيل سداد مصاريف التوكيل الملاحي ورفع إذن التسليم للبدء في الكشف</t>
  </si>
  <si>
    <t>CS-03</t>
  </si>
  <si>
    <t>قيد الإقرار الجمركي ونموذج 46 ك.م</t>
  </si>
  <si>
    <t>ملف الشحنة &gt; الإقرار الجمركي</t>
  </si>
  <si>
    <t>تسجيل رقم 46 وتاريخ القيد الجمركي وانتقال الشحنة لقسم Under Customs Clearance</t>
  </si>
  <si>
    <t>7. التخليص والإفراج</t>
  </si>
  <si>
    <t>CL-01</t>
  </si>
  <si>
    <t>تسجيل الكشف والمعاينة وسحب العينات</t>
  </si>
  <si>
    <t>ملف الشحنة &gt; الكشف والتثمين</t>
  </si>
  <si>
    <t>تسجيل تقرير الفحص الفني واعتماد هيئة الرقابة على الصادرات والواردات (GOIEC)</t>
  </si>
  <si>
    <t>CL-02</t>
  </si>
  <si>
    <t>احتساب الرسوم والضرائب الجمركية النهائية</t>
  </si>
  <si>
    <t>ملف الشحنة &gt; حساب الرسوم</t>
  </si>
  <si>
    <t>مطابقة المطالبة الجمركية الفعلية وتفصيل بنود الوارد والقيمة المضافة ورسم التنمية</t>
  </si>
  <si>
    <t>CL-03</t>
  </si>
  <si>
    <t>تسجيل سداد الرسوم الجمركية بسداد</t>
  </si>
  <si>
    <t>ملف الشحنة &gt; سداد الجمارك</t>
  </si>
  <si>
    <t>تسجيل رقم سداد / E-Finance وإيصال الدفع وتوليد مهمة الإفراج الفوري</t>
  </si>
  <si>
    <t>CL-04</t>
  </si>
  <si>
    <t>صدور أمر الإفراج الجمركي الأخضر</t>
  </si>
  <si>
    <t>ملف الشحنة &gt; الإفراج النهائي</t>
  </si>
  <si>
    <t>ظهور شارة Customs Released الخضراء بالداش بورد وتوليد مهمة النقل للمخازن</t>
  </si>
  <si>
    <t>CL-05</t>
  </si>
  <si>
    <t>تسجيل مصاريف وأتعاب التخليص والعتالة</t>
  </si>
  <si>
    <t>ملف الشحنة &gt; مصاريف التخليص</t>
  </si>
  <si>
    <t>تسجيل فواتير المخلص ونولون الموانئ وتفريغ الحاويات لترحيلها للتكلفة الكلية</t>
  </si>
  <si>
    <t>8. النقل والمخازن</t>
  </si>
  <si>
    <t>TR-01</t>
  </si>
  <si>
    <t>تنسيق وحجز سيارات النقل الداخلي</t>
  </si>
  <si>
    <t>ملف الشحنة &gt; النقل والتوزيع</t>
  </si>
  <si>
    <t>تسجيل بيانات السيارات والسائقين وتتبع زمن الخروج من الميناء والوصول للمخزن</t>
  </si>
  <si>
    <t>TR-02</t>
  </si>
  <si>
    <t>رادار مراقبة فترات السماح وغرامات التأخير</t>
  </si>
  <si>
    <t>الداش بورد &gt; رادار الحاويات</t>
  </si>
  <si>
    <t>تنبيهات ملونة (أخضر/أصفر/أحمر) لسرعة تفريغ وإرجاع الحاويات وتفادي الغرامات</t>
  </si>
  <si>
    <t>TR-03</t>
  </si>
  <si>
    <t>إذن استلام البضاعة في المخزن (GRN)</t>
  </si>
  <si>
    <t>ملف الشحنة &gt; استلام المخزن</t>
  </si>
  <si>
    <t>تسجيل إذن الاستلام وتأكيد وصول البضاعة وإيقاف عدادات النقل والشحن</t>
  </si>
  <si>
    <t>TR-04</t>
  </si>
  <si>
    <t>الفحص الفني ومطابقة العجز والتالف</t>
  </si>
  <si>
    <t>ملف الشحنة &gt; محضر الفحص المخزني</t>
  </si>
  <si>
    <t>مطابقة الكميات المستلمة الفعلية مع الفاتورة وحصر أي عجز أو تالف للمطالبات</t>
  </si>
  <si>
    <t>TR-05</t>
  </si>
  <si>
    <t>تأكيد إرجاع الحاويات الفارغة للخط (EIR)</t>
  </si>
  <si>
    <t>ملف الشحنة &gt; تسليم الحاويات</t>
  </si>
  <si>
    <t>تسجيل إيصال إرجاع الحاوية الفارغة وإغلاق ملف الخط الملاحي بدون غرامات</t>
  </si>
  <si>
    <t>9. تكلفة الوصول والإغلاق</t>
  </si>
  <si>
    <t>CLO-01</t>
  </si>
  <si>
    <t>تجميع وتسوية الفواتير الختامية للملف</t>
  </si>
  <si>
    <t>ملف الشحنة &gt; التسوية المالية</t>
  </si>
  <si>
    <t>تسوية حسابات المورد ووكيل الشحن والمخلص والنقل والضرائب بالكامل</t>
  </si>
  <si>
    <t>CLO-02</t>
  </si>
  <si>
    <t>محرك احتساب تكلفة الوصول الفعلية والانحراف</t>
  </si>
  <si>
    <t>ملف الشحنة &gt; تكلفة الوصول (Landed)</t>
  </si>
  <si>
    <t>توزيع المصاريف على الأصناف واستخراج تكلفة الوحدة ومقارنة التقديري بالفعلي</t>
  </si>
  <si>
    <t>CLO-03</t>
  </si>
  <si>
    <t>إصدار وتصدير التقرير الشامل للملف</t>
  </si>
  <si>
    <t>ملف الشحنة &gt; التقرير الشامل</t>
  </si>
  <si>
    <t>تصدير الملف الكامل PDF/Excel شاملاً الوثائق والتكاليف والتواريخ للمراجعة والأرشيف</t>
  </si>
  <si>
    <t>CLO-04</t>
  </si>
  <si>
    <t>الإغلاق الرسمي والأرشفة الرقمية للملف</t>
  </si>
  <si>
    <t>ملف الشحنة &gt; إغلاق الملف</t>
  </si>
  <si>
    <t>انتقال الملف إلى Closed &amp; Settled بالداش بورد، واكتمال شريط دورة الحياة بنسبة 100%</t>
  </si>
  <si>
    <t>سيناريو التجربة التشغيلية النموذجية خطوة بخطوة (End-to-End Story)</t>
  </si>
  <si>
    <t>ماذا يفعل المستخدم؟ (Action)</t>
  </si>
  <si>
    <t>النتيجة والأثر المتوقع في النظام</t>
  </si>
  <si>
    <t>الخطوة 1: تجهيز التكويد المرجعي</t>
  </si>
  <si>
    <t>قم بتكويد شركة مستوردة، مورد صيني/أوروبي، بنك الأهلي، خط ميرسك، ومخلص جمركي بميناء الإسكندرية.</t>
  </si>
  <si>
    <t>التحقق من أن كافة الحقول في الشاشات التالية أصبحت تظهر البيانات مباشرة عبر القائمة المنسدلة الذكية.</t>
  </si>
  <si>
    <t>الخطوة 2: إنشاء مشروع وملف شحنة</t>
  </si>
  <si>
    <t>افتح مشروع 'استيراد خط إنتاج 2026' ثم أنشئ ملف شحنة بحرية من ميناء شنغهاي إلى الإسكندرية.</t>
  </si>
  <si>
    <t>الداش بورد يظهر ملف الشحنة الجديد، وفي لوحة دورة الحياة تظهر المحطة الأولى 'Planning' نشطة.</t>
  </si>
  <si>
    <t>الخطوة 3: أمر الشراء ورفع الفاتورة</t>
  </si>
  <si>
    <t>أدخل أمر الشراء (PO) أو ارفع الفاتورة وقائمة التعبئة لاستخلاص البنود والأوزان آلياً.</t>
  </si>
  <si>
    <t>الاستخلاص الآلي للبيانات وملء جدول الأصناف والكميات دون الحاجة لإدخال يدوي مكرر.</t>
  </si>
  <si>
    <t>الخطوة 4: حاسبة الأحجام CBM ودراسة الشحن</t>
  </si>
  <si>
    <t>احسب الـ CBM وتوزيع الحاوية 40HQ، وسجل عروض أسعار الشحن من وكيلين واختر الأنسب.</t>
  </si>
  <si>
    <t>اقتراح الحاوية وتحديد التكلفة الأقل وتوليد مهمة طلب الدفعة المقدمة للمورد.</t>
  </si>
  <si>
    <t>الخطوة 5: المحاكاة الجمركية ورقم ACID</t>
  </si>
  <si>
    <t>شغل محرك التعريفة المصرية واحتسب الرسوم ثم سجل رقم الـ ACID المكون من 19 رقماً.</t>
  </si>
  <si>
    <t>ظهور شارة الـ ACID الخضراء بالداش بورد مع عداد الأيام المتبقية وتوليد تنبيهات الصلاحية.</t>
  </si>
  <si>
    <t>الخطوة 6: حجز الشحن والـ CargoX</t>
  </si>
  <si>
    <t>أكد حجز الشحن (Booking)، ثم راجع مسودة البوليصة واعتمد مظروف CargoX الرقمي.</t>
  </si>
  <si>
    <t>انتقال حالة الشحنة إلى 'In-Transit' وظهور موعد الـ ETA في جدول الشحنات القادمة هذا الشهر.</t>
  </si>
  <si>
    <t>الخطوة 7: التخليص الجمركي ونموذج 46</t>
  </si>
  <si>
    <t>عين المخلص الجمركي وسجل إذن التسليم الملاحي وقيد الشهادة الجمركية رقم 46 ك.م.</t>
  </si>
  <si>
    <t>تحديث حالة الشحنة إلى 'Under Customs Clearance' وظهور تنبيه متابعة الكشف والمعاينة.</t>
  </si>
  <si>
    <t>الخطوة 8: سداد الجمارك والإفراج</t>
  </si>
  <si>
    <t>سجل سداد الرسوم عبر سداد/E-Finance، ثم سجل صدور أمر الإفراج الجمركي الأخضر.</t>
  </si>
  <si>
    <t>الشحنة تصبح 'Customs Released' وتوليد مهمة فورية لحجز سيارات النقل الداخلي.</t>
  </si>
  <si>
    <t>الخطوة 9: النقل والاستلام بالمخزن</t>
  </si>
  <si>
    <t>سجل خروج الحاويات من الميناء واستلامها بالمخزن (GRN) وتأكيد إرجاع الحاويات الفارغة.</t>
  </si>
  <si>
    <t>إيقاف عداد غرامات التأخير (0 جنيه) وتحديث كارت البضائع المستلمة بالمخزن.</t>
  </si>
  <si>
    <t>الخطوة 10: تكلفة الوصول وإغلاق الملف</t>
  </si>
  <si>
    <t>شغل محرك تكلفة الوصول (Actual Landed Cost) ووزع المصاريف ثم أغلق الملف وأرشفه.</t>
  </si>
  <si>
    <t>اكتمال دورة حياة الشحنة بنسبة 100% وتحولها إلى 'Closed &amp; Settled' وتصدير التقرير الشامل.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</si>
</sst>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6"/>
      <color rgb="FFFFFFFF"/>
      <name val="Calibri"/>
    </font>
    <font>
      <i/>
      <sz val="11"/>
      <color rgb="FF7F8C8D"/>
      <name val="Calibri"/>
    </font>
    <font>
      <b/>
      <sz val="10"/>
      <color rgb="FF2C3E50"/>
      <name val="Calibri"/>
    </font>
    <font>
      <b/>
      <sz val="11"/>
      <color rgb="FFFFFFFF"/>
      <name val="Calibri"/>
    </font>
    <font>
      <b/>
      <sz val="18"/>
      <color rgb="FF2C3E50"/>
      <name val="Calibri"/>
    </font>
    <font>
      <b/>
      <sz val="13"/>
      <color rgb="FFFFFFFF"/>
      <name val="Calibri"/>
    </font>
    <font>
      <b/>
      <sz val="10"/>
      <name val="Calibri"/>
    </font>
    <font>
      <sz val="10"/>
      <name val="Calibri"/>
    </font>
  </fonts>
  <fills count="11">
    <fill>
      <patternFill patternType="none"/>
    </fill>
    <fill>
      <patternFill patternType="gray125"/>
    </fill>
    <fill>
      <patternFill patternType="solid">
        <fgColor rgb="FF2C3E50"/>
        <bgColor rgb="FF2C3E50"/>
      </patternFill>
    </fill>
    <fill>
      <patternFill patternType="solid">
        <fgColor rgb="FFF8F9F9"/>
        <bgColor rgb="FFF8F9F9"/>
      </patternFill>
    </fill>
    <fill>
      <patternFill patternType="solid">
        <fgColor rgb="FF34495E"/>
        <bgColor rgb="FF34495E"/>
      </patternFill>
    </fill>
    <fill>
      <patternFill patternType="solid">
        <fgColor rgb="FFECF0F1"/>
        <bgColor rgb="FFECF0F1"/>
      </patternFill>
    </fill>
    <fill>
      <patternFill patternType="solid">
        <fgColor rgb="FF27AE60"/>
        <bgColor rgb="FF27AE60"/>
      </patternFill>
    </fill>
    <fill>
      <patternFill patternType="solid">
        <fgColor rgb="FFE67E22"/>
        <bgColor rgb="FFE67E22"/>
      </patternFill>
    </fill>
    <fill>
      <patternFill patternType="solid">
        <fgColor rgb="FFC0392B"/>
        <bgColor rgb="FFC0392B"/>
      </patternFill>
    </fill>
    <fill>
      <patternFill patternType="solid">
        <fgColor rgb="FF3498DB"/>
        <bgColor rgb="FF3498DB"/>
      </patternFill>
    </fill>
    <fill>
      <patternFill patternType="solid">
        <fgColor rgb="FFFFFFFF"/>
        <bgColor rgb="FFFFFFFF"/>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33">
    <xf numFmtId="0" fontId="0" fillId="0" borderId="0" xfId="0"/>
    <xf numFmtId="0" fontId="4" fillId="4" borderId="1" xfId="0" applyFont="1" applyFill="1" applyBorder="1" applyAlignment="1">
      <alignment horizontal="center" vertical="center" wrapText="1"/>
    </xf>
    <xf numFmtId="0" fontId="4" fillId="4" borderId="0" xfId="0" applyFont="1" applyFill="1" applyAlignment="1">
      <alignment horizontal="center" vertical="center" wrapText="1"/>
    </xf>
    <xf numFmtId="0" fontId="7" fillId="10" borderId="1" xfId="0" applyFont="1" applyFill="1" applyBorder="1" applyAlignment="1">
      <alignment horizontal="center" vertical="center" wrapText="1"/>
    </xf>
    <xf numFmtId="0" fontId="8" fillId="10" borderId="1" xfId="0" applyFont="1" applyFill="1" applyBorder="1" applyAlignment="1">
      <alignment horizontal="right" vertical="center" wrapText="1"/>
    </xf>
    <xf numFmtId="0" fontId="0" fillId="10" borderId="1" xfId="0"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right" vertical="center" wrapText="1"/>
    </xf>
    <xf numFmtId="0" fontId="0" fillId="3" borderId="1" xfId="0" applyFill="1" applyBorder="1" applyAlignment="1">
      <alignment horizontal="center" vertical="center" wrapText="1"/>
    </xf>
    <xf numFmtId="0" fontId="8" fillId="10"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7" fillId="10" borderId="1" xfId="0" applyFont="1" applyFill="1" applyBorder="1" applyAlignment="1">
      <alignment horizontal="right" vertical="center" wrapText="1"/>
    </xf>
    <xf numFmtId="0" fontId="7" fillId="3" borderId="1" xfId="0" applyFont="1" applyFill="1" applyBorder="1" applyAlignment="1">
      <alignment horizontal="right" vertical="center" wrapText="1"/>
    </xf>
    <xf numFmtId="0" fontId="4" fillId="6" borderId="1" xfId="0" applyFont="1" applyFill="1" applyBorder="1" applyAlignment="1">
      <alignment horizontal="center" vertical="center" wrapText="1"/>
    </xf>
    <xf numFmtId="0" fontId="0" fillId="0" borderId="1" xfId="0" applyBorder="1"/>
    <xf numFmtId="0" fontId="4" fillId="7" borderId="1" xfId="0" applyFont="1" applyFill="1" applyBorder="1" applyAlignment="1">
      <alignment horizontal="center" vertical="center" wrapText="1"/>
    </xf>
    <xf numFmtId="164" fontId="7" fillId="10" borderId="1" xfId="0" applyNumberFormat="1" applyFont="1" applyFill="1" applyBorder="1" applyAlignment="1">
      <alignment horizontal="center" vertical="center" wrapText="1"/>
    </xf>
    <xf numFmtId="0" fontId="0" fillId="10" borderId="1" xfId="0" applyFill="1" applyBorder="1"/>
    <xf numFmtId="0" fontId="5" fillId="5" borderId="1" xfId="0" applyFont="1" applyFill="1" applyBorder="1" applyAlignment="1">
      <alignment horizontal="center" vertical="center" wrapText="1"/>
    </xf>
    <xf numFmtId="0" fontId="4" fillId="4" borderId="0" xfId="0" applyFont="1" applyFill="1" applyAlignment="1">
      <alignment horizontal="center" vertical="center" wrapText="1"/>
    </xf>
    <xf numFmtId="0" fontId="0" fillId="0" borderId="0" xfId="0"/>
    <xf numFmtId="164" fontId="7" fillId="3" borderId="1" xfId="0" applyNumberFormat="1" applyFont="1" applyFill="1" applyBorder="1" applyAlignment="1">
      <alignment horizontal="center" vertical="center" wrapText="1"/>
    </xf>
    <xf numFmtId="0" fontId="0" fillId="3" borderId="1" xfId="0" applyFill="1" applyBorder="1"/>
    <xf numFmtId="0" fontId="3" fillId="3" borderId="1" xfId="0" applyFont="1" applyFill="1" applyBorder="1" applyAlignment="1">
      <alignment horizontal="right" vertical="center" wrapText="1"/>
    </xf>
    <xf numFmtId="0" fontId="4" fillId="8" borderId="1" xfId="0" applyFont="1" applyFill="1" applyBorder="1" applyAlignment="1">
      <alignment horizontal="center" vertical="center" wrapText="1"/>
    </xf>
    <xf numFmtId="0" fontId="6" fillId="2" borderId="0" xfId="0" applyFont="1" applyFill="1" applyAlignment="1">
      <alignment horizontal="center" vertical="center" wrapText="1"/>
    </xf>
    <xf numFmtId="0" fontId="1" fillId="2" borderId="0" xfId="0" applyFont="1" applyFill="1" applyAlignment="1">
      <alignment horizontal="center" vertical="center" wrapText="1"/>
    </xf>
    <xf numFmtId="0" fontId="4" fillId="4" borderId="1" xfId="0" applyFont="1" applyFill="1" applyBorder="1" applyAlignment="1">
      <alignment horizontal="center" vertical="center" wrapText="1"/>
    </xf>
    <xf numFmtId="164" fontId="5" fillId="5" borderId="1" xfId="0" applyNumberFormat="1" applyFont="1" applyFill="1" applyBorder="1" applyAlignment="1">
      <alignment horizontal="center" vertical="center" wrapText="1"/>
    </xf>
    <xf numFmtId="0" fontId="2" fillId="0" borderId="0" xfId="0" applyFont="1" applyAlignment="1">
      <alignment horizontal="center" vertical="center" wrapText="1"/>
    </xf>
    <xf numFmtId="0" fontId="4" fillId="9" borderId="1" xfId="0" applyFont="1" applyFill="1" applyBorder="1" applyAlignment="1">
      <alignment horizontal="center" vertical="center" wrapText="1"/>
    </xf>
    <xf numFmtId="0" fontId="8" fillId="10" borderId="1" xfId="0" applyFont="1" applyFill="1" applyBorder="1" applyAlignment="1">
      <alignment horizontal="right" vertical="center" wrapText="1"/>
    </xf>
    <xf numFmtId="0" fontId="8" fillId="3" borderId="1" xfId="0" applyFont="1" applyFill="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26"/>
  <sheetViews>
    <sheetView rightToLeft="1" workbookViewId="0"/>
  </sheetViews>
  <sheetFormatPr defaultRowHeight="14.4" x14ac:dyDescent="0.3"/>
  <cols>
    <col min="1" max="1" width="3" customWidth="1"/>
    <col min="2" max="2" width="16" customWidth="1"/>
    <col min="3" max="3" width="38" customWidth="1"/>
    <col min="4" max="6" width="16" customWidth="1"/>
    <col min="7" max="7" width="18" customWidth="1"/>
    <col min="8" max="10" width="8" customWidth="1"/>
  </cols>
  <sheetData>
    <row r="2" spans="2:10" x14ac:dyDescent="0.3">
      <c r="B2" s="26" t="s">
        <v>0</v>
      </c>
      <c r="C2" s="20"/>
      <c r="D2" s="20"/>
      <c r="E2" s="20"/>
      <c r="F2" s="20"/>
      <c r="G2" s="20"/>
      <c r="H2" s="20"/>
      <c r="I2" s="20"/>
      <c r="J2" s="20"/>
    </row>
    <row r="3" spans="2:10" x14ac:dyDescent="0.3">
      <c r="B3" s="20"/>
      <c r="C3" s="20"/>
      <c r="D3" s="20"/>
      <c r="E3" s="20"/>
      <c r="F3" s="20"/>
      <c r="G3" s="20"/>
      <c r="H3" s="20"/>
      <c r="I3" s="20"/>
      <c r="J3" s="20"/>
    </row>
    <row r="4" spans="2:10" x14ac:dyDescent="0.3">
      <c r="B4" s="29" t="s">
        <v>1</v>
      </c>
      <c r="C4" s="20"/>
      <c r="D4" s="20"/>
      <c r="E4" s="20"/>
      <c r="F4" s="20"/>
      <c r="G4" s="20"/>
      <c r="H4" s="20"/>
      <c r="I4" s="20"/>
      <c r="J4" s="20"/>
    </row>
    <row r="6" spans="2:10" x14ac:dyDescent="0.3">
      <c r="B6" s="23" t="s">
        <v>2</v>
      </c>
      <c r="C6" s="14"/>
      <c r="D6" s="14"/>
      <c r="E6" s="14"/>
      <c r="F6" s="14"/>
      <c r="G6" s="14"/>
      <c r="H6" s="14"/>
      <c r="I6" s="14"/>
      <c r="J6" s="14"/>
    </row>
    <row r="7" spans="2:10" x14ac:dyDescent="0.3">
      <c r="B7" s="14"/>
      <c r="C7" s="14"/>
      <c r="D7" s="14"/>
      <c r="E7" s="14"/>
      <c r="F7" s="14"/>
      <c r="G7" s="14"/>
      <c r="H7" s="14"/>
      <c r="I7" s="14"/>
      <c r="J7" s="14"/>
    </row>
    <row r="8" spans="2:10" x14ac:dyDescent="0.3">
      <c r="B8" s="14"/>
      <c r="C8" s="14"/>
      <c r="D8" s="14"/>
      <c r="E8" s="14"/>
      <c r="F8" s="14"/>
      <c r="G8" s="14"/>
      <c r="H8" s="14"/>
      <c r="I8" s="14"/>
      <c r="J8" s="14"/>
    </row>
    <row r="10" spans="2:10" x14ac:dyDescent="0.3">
      <c r="B10" s="27" t="s">
        <v>3</v>
      </c>
      <c r="C10" s="14"/>
      <c r="D10" s="13" t="s">
        <v>4</v>
      </c>
      <c r="E10" s="14"/>
      <c r="F10" s="15" t="s">
        <v>5</v>
      </c>
      <c r="G10" s="14"/>
      <c r="H10" s="24" t="s">
        <v>6</v>
      </c>
      <c r="I10" s="30" t="s">
        <v>7</v>
      </c>
      <c r="J10" s="14"/>
    </row>
    <row r="11" spans="2:10" x14ac:dyDescent="0.3">
      <c r="B11" s="18">
        <f>COUNTA('قائمة مهام تجربة النظام'!A5:A42)</f>
        <v>38</v>
      </c>
      <c r="C11" s="14"/>
      <c r="D11" s="18">
        <f>COUNTIF('قائمة مهام تجربة النظام'!G5:G42, "تم بنجاح ✅")</f>
        <v>0</v>
      </c>
      <c r="E11" s="14"/>
      <c r="F11" s="18">
        <f>COUNTIF('قائمة مهام تجربة النظام'!G5:G42, "يوجد ملاحظة ⚠️")</f>
        <v>0</v>
      </c>
      <c r="G11" s="14"/>
      <c r="H11" s="18">
        <f>COUNTIF('قائمة مهام تجربة النظام'!G5:G42, "يحتاج تعديل ❌")</f>
        <v>0</v>
      </c>
      <c r="I11" s="28">
        <f>IFERROR(COUNTIF('قائمة مهام تجربة النظام'!G5:G42, "تم بنجاح ✅")/COUNTA('قائمة مهام تجربة النظام'!A5:A42), 0)</f>
        <v>0</v>
      </c>
      <c r="J11" s="14"/>
    </row>
    <row r="12" spans="2:10" x14ac:dyDescent="0.3">
      <c r="B12" s="14"/>
      <c r="C12" s="14"/>
      <c r="D12" s="14"/>
      <c r="E12" s="14"/>
      <c r="F12" s="14"/>
      <c r="G12" s="14"/>
      <c r="H12" s="14"/>
      <c r="I12" s="14"/>
      <c r="J12" s="14"/>
    </row>
    <row r="15" spans="2:10" x14ac:dyDescent="0.3">
      <c r="B15" s="25" t="s">
        <v>8</v>
      </c>
      <c r="C15" s="20"/>
      <c r="D15" s="20"/>
      <c r="E15" s="20"/>
      <c r="F15" s="20"/>
      <c r="G15" s="20"/>
      <c r="H15" s="20"/>
      <c r="I15" s="20"/>
      <c r="J15" s="20"/>
    </row>
    <row r="16" spans="2:10" x14ac:dyDescent="0.3">
      <c r="B16" s="2" t="s">
        <v>9</v>
      </c>
      <c r="C16" s="2" t="s">
        <v>10</v>
      </c>
      <c r="D16" s="2" t="s">
        <v>11</v>
      </c>
      <c r="E16" s="2" t="s">
        <v>12</v>
      </c>
      <c r="F16" s="2" t="s">
        <v>13</v>
      </c>
      <c r="G16" s="2" t="s">
        <v>14</v>
      </c>
      <c r="H16" s="19" t="s">
        <v>15</v>
      </c>
      <c r="I16" s="20"/>
      <c r="J16" s="20"/>
    </row>
    <row r="17" spans="2:10" x14ac:dyDescent="0.3">
      <c r="B17" s="3" t="s">
        <v>16</v>
      </c>
      <c r="C17" s="4" t="s">
        <v>17</v>
      </c>
      <c r="D17" s="5">
        <f>COUNTIF('قائمة مهام تجربة النظام'!B5:B13, "*")</f>
        <v>9</v>
      </c>
      <c r="E17" s="5">
        <f>COUNTIF('قائمة مهام تجربة النظام'!G5:G13, "تم بنجاح ✅")</f>
        <v>0</v>
      </c>
      <c r="F17" s="5">
        <f>COUNTIF('قائمة مهام تجربة النظام'!G5:G13, "يوجد ملاحظة ⚠️") + COUNTIF('قائمة مهام تجربة النظام'!G5:G13, "يحتاج تعديل ❌")</f>
        <v>0</v>
      </c>
      <c r="G17" s="5">
        <f>COUNTIF('قائمة مهام تجربة النظام'!G5:G13, "لم تبدأ") + COUNTIF('قائمة مهام تجربة النظام'!G5:G13, "قيد التجربة")</f>
        <v>9</v>
      </c>
      <c r="H17" s="16">
        <f t="shared" ref="H17:H26" si="0">IFERROR(E17/D17, 0)</f>
        <v>0</v>
      </c>
      <c r="I17" s="17"/>
      <c r="J17" s="17"/>
    </row>
    <row r="18" spans="2:10" x14ac:dyDescent="0.3">
      <c r="B18" s="6" t="s">
        <v>18</v>
      </c>
      <c r="C18" s="7" t="s">
        <v>19</v>
      </c>
      <c r="D18" s="8">
        <f>COUNTIF('قائمة مهام تجربة النظام'!B14:B21, "*")</f>
        <v>8</v>
      </c>
      <c r="E18" s="8">
        <f>COUNTIF('قائمة مهام تجربة النظام'!G14:G21, "تم بنجاح ✅")</f>
        <v>0</v>
      </c>
      <c r="F18" s="8">
        <f>COUNTIF('قائمة مهام تجربة النظام'!G14:G21, "يوجد ملاحظة ⚠️") + COUNTIF('قائمة مهام تجربة النظام'!G14:G21, "يحتاج تعديل ❌")</f>
        <v>0</v>
      </c>
      <c r="G18" s="8">
        <f>COUNTIF('قائمة مهام تجربة النظام'!G14:G21, "لم تبدأ") + COUNTIF('قائمة مهام تجربة النظام'!G14:G21, "قيد التجربة")</f>
        <v>8</v>
      </c>
      <c r="H18" s="21">
        <f t="shared" si="0"/>
        <v>0</v>
      </c>
      <c r="I18" s="22"/>
      <c r="J18" s="22"/>
    </row>
    <row r="19" spans="2:10" x14ac:dyDescent="0.3">
      <c r="B19" s="3" t="s">
        <v>20</v>
      </c>
      <c r="C19" s="4" t="s">
        <v>21</v>
      </c>
      <c r="D19" s="5">
        <f>COUNTIF('قائمة مهام تجربة النظام'!B22:B23, "*")</f>
        <v>2</v>
      </c>
      <c r="E19" s="5">
        <f>COUNTIF('قائمة مهام تجربة النظام'!G22:G23, "تم بنجاح ✅")</f>
        <v>0</v>
      </c>
      <c r="F19" s="5">
        <f>COUNTIF('قائمة مهام تجربة النظام'!G22:G23, "يوجد ملاحظة ⚠️") + COUNTIF('قائمة مهام تجربة النظام'!G22:G23, "يحتاج تعديل ❌")</f>
        <v>0</v>
      </c>
      <c r="G19" s="5">
        <f>COUNTIF('قائمة مهام تجربة النظام'!G22:G23, "لم تبدأ") + COUNTIF('قائمة مهام تجربة النظام'!G22:G23, "قيد التجربة")</f>
        <v>2</v>
      </c>
      <c r="H19" s="16">
        <f t="shared" si="0"/>
        <v>0</v>
      </c>
      <c r="I19" s="17"/>
      <c r="J19" s="17"/>
    </row>
    <row r="20" spans="2:10" x14ac:dyDescent="0.3">
      <c r="B20" s="6" t="s">
        <v>22</v>
      </c>
      <c r="C20" s="7" t="s">
        <v>23</v>
      </c>
      <c r="D20" s="8">
        <f>COUNTIF('قائمة مهام تجربة النظام'!B24:B27, "*")</f>
        <v>4</v>
      </c>
      <c r="E20" s="8">
        <f>COUNTIF('قائمة مهام تجربة النظام'!G24:G27, "تم بنجاح ✅")</f>
        <v>0</v>
      </c>
      <c r="F20" s="8">
        <f>COUNTIF('قائمة مهام تجربة النظام'!G24:G27, "يوجد ملاحظة ⚠️") + COUNTIF('قائمة مهام تجربة النظام'!G24:G27, "يحتاج تعديل ❌")</f>
        <v>0</v>
      </c>
      <c r="G20" s="8">
        <f>COUNTIF('قائمة مهام تجربة النظام'!G24:G27, "لم تبدأ") + COUNTIF('قائمة مهام تجربة النظام'!G24:G27, "قيد التجربة")</f>
        <v>4</v>
      </c>
      <c r="H20" s="21">
        <f t="shared" si="0"/>
        <v>0</v>
      </c>
      <c r="I20" s="22"/>
      <c r="J20" s="22"/>
    </row>
    <row r="21" spans="2:10" x14ac:dyDescent="0.3">
      <c r="B21" s="3" t="s">
        <v>24</v>
      </c>
      <c r="C21" s="4" t="s">
        <v>25</v>
      </c>
      <c r="D21" s="5">
        <f>COUNTIF('قائمة مهام تجربة النظام'!B28:B29, "*")</f>
        <v>2</v>
      </c>
      <c r="E21" s="5">
        <f>COUNTIF('قائمة مهام تجربة النظام'!G28:G29, "تم بنجاح ✅")</f>
        <v>0</v>
      </c>
      <c r="F21" s="5">
        <f>COUNTIF('قائمة مهام تجربة النظام'!G28:G29, "يوجد ملاحظة ⚠️") + COUNTIF('قائمة مهام تجربة النظام'!G28:G29, "يحتاج تعديل ❌")</f>
        <v>0</v>
      </c>
      <c r="G21" s="5">
        <f>COUNTIF('قائمة مهام تجربة النظام'!G28:G29, "لم تبدأ") + COUNTIF('قائمة مهام تجربة النظام'!G28:G29, "قيد التجربة")</f>
        <v>2</v>
      </c>
      <c r="H21" s="16">
        <f t="shared" si="0"/>
        <v>0</v>
      </c>
      <c r="I21" s="17"/>
      <c r="J21" s="17"/>
    </row>
    <row r="22" spans="2:10" x14ac:dyDescent="0.3">
      <c r="B22" s="6" t="s">
        <v>26</v>
      </c>
      <c r="C22" s="7" t="s">
        <v>27</v>
      </c>
      <c r="D22" s="8">
        <f>COUNTIF('قائمة مهام تجربة النظام'!B30:B33, "*")</f>
        <v>4</v>
      </c>
      <c r="E22" s="8">
        <f>COUNTIF('قائمة مهام تجربة النظام'!G30:G33, "تم بنجاح ✅")</f>
        <v>0</v>
      </c>
      <c r="F22" s="8">
        <f>COUNTIF('قائمة مهام تجربة النظام'!G30:G33, "يوجد ملاحظة ⚠️") + COUNTIF('قائمة مهام تجربة النظام'!G30:G33, "يحتاج تعديل ❌")</f>
        <v>0</v>
      </c>
      <c r="G22" s="8">
        <f>COUNTIF('قائمة مهام تجربة النظام'!G30:G33, "لم تبدأ") + COUNTIF('قائمة مهام تجربة النظام'!G30:G33, "قيد التجربة")</f>
        <v>4</v>
      </c>
      <c r="H22" s="21">
        <f t="shared" si="0"/>
        <v>0</v>
      </c>
      <c r="I22" s="22"/>
      <c r="J22" s="22"/>
    </row>
    <row r="23" spans="2:10" x14ac:dyDescent="0.3">
      <c r="B23" s="3" t="s">
        <v>28</v>
      </c>
      <c r="C23" s="4" t="s">
        <v>29</v>
      </c>
      <c r="D23" s="5">
        <f>COUNTIF('قائمة مهام تجربة النظام'!B34:B36, "*")</f>
        <v>3</v>
      </c>
      <c r="E23" s="5">
        <f>COUNTIF('قائمة مهام تجربة النظام'!G34:G36, "تم بنجاح ✅")</f>
        <v>0</v>
      </c>
      <c r="F23" s="5">
        <f>COUNTIF('قائمة مهام تجربة النظام'!G34:G36, "يوجد ملاحظة ⚠️") + COUNTIF('قائمة مهام تجربة النظام'!G34:G36, "يحتاج تعديل ❌")</f>
        <v>0</v>
      </c>
      <c r="G23" s="5">
        <f>COUNTIF('قائمة مهام تجربة النظام'!G34:G36, "لم تبدأ") + COUNTIF('قائمة مهام تجربة النظام'!G34:G36, "قيد التجربة")</f>
        <v>3</v>
      </c>
      <c r="H23" s="16">
        <f t="shared" si="0"/>
        <v>0</v>
      </c>
      <c r="I23" s="17"/>
      <c r="J23" s="17"/>
    </row>
    <row r="24" spans="2:10" x14ac:dyDescent="0.3">
      <c r="B24" s="6" t="s">
        <v>30</v>
      </c>
      <c r="C24" s="7" t="s">
        <v>31</v>
      </c>
      <c r="D24" s="8">
        <f>COUNTIF('قائمة مهام تجربة النظام'!B37:B41, "*")</f>
        <v>5</v>
      </c>
      <c r="E24" s="8">
        <f>COUNTIF('قائمة مهام تجربة النظام'!G37:G41, "تم بنجاح ✅")</f>
        <v>0</v>
      </c>
      <c r="F24" s="8">
        <f>COUNTIF('قائمة مهام تجربة النظام'!G37:G41, "يوجد ملاحظة ⚠️") + COUNTIF('قائمة مهام تجربة النظام'!G37:G41, "يحتاج تعديل ❌")</f>
        <v>0</v>
      </c>
      <c r="G24" s="8">
        <f>COUNTIF('قائمة مهام تجربة النظام'!G37:G41, "لم تبدأ") + COUNTIF('قائمة مهام تجربة النظام'!G37:G41, "قيد التجربة")</f>
        <v>5</v>
      </c>
      <c r="H24" s="21">
        <f t="shared" si="0"/>
        <v>0</v>
      </c>
      <c r="I24" s="22"/>
      <c r="J24" s="22"/>
    </row>
    <row r="25" spans="2:10" x14ac:dyDescent="0.3">
      <c r="B25" s="3" t="s">
        <v>32</v>
      </c>
      <c r="C25" s="4" t="s">
        <v>33</v>
      </c>
      <c r="D25" s="5">
        <f>COUNTIF('قائمة مهام تجربة النظام'!B42:B46, "*")</f>
        <v>5</v>
      </c>
      <c r="E25" s="5">
        <f>COUNTIF('قائمة مهام تجربة النظام'!G42:G46, "تم بنجاح ✅")</f>
        <v>0</v>
      </c>
      <c r="F25" s="5">
        <f>COUNTIF('قائمة مهام تجربة النظام'!G42:G46, "يوجد ملاحظة ⚠️") + COUNTIF('قائمة مهام تجربة النظام'!G42:G46, "يحتاج تعديل ❌")</f>
        <v>0</v>
      </c>
      <c r="G25" s="5">
        <f>COUNTIF('قائمة مهام تجربة النظام'!G42:G46, "لم تبدأ") + COUNTIF('قائمة مهام تجربة النظام'!G42:G46, "قيد التجربة")</f>
        <v>5</v>
      </c>
      <c r="H25" s="16">
        <f t="shared" si="0"/>
        <v>0</v>
      </c>
      <c r="I25" s="17"/>
      <c r="J25" s="17"/>
    </row>
    <row r="26" spans="2:10" x14ac:dyDescent="0.3">
      <c r="B26" s="6" t="s">
        <v>34</v>
      </c>
      <c r="C26" s="7" t="s">
        <v>35</v>
      </c>
      <c r="D26" s="8">
        <f>COUNTIF('قائمة مهام تجربة النظام'!B47:B50, "*")</f>
        <v>4</v>
      </c>
      <c r="E26" s="8">
        <f>COUNTIF('قائمة مهام تجربة النظام'!G47:G50, "تم بنجاح ✅")</f>
        <v>0</v>
      </c>
      <c r="F26" s="8">
        <f>COUNTIF('قائمة مهام تجربة النظام'!G47:G50, "يوجد ملاحظة ⚠️") + COUNTIF('قائمة مهام تجربة النظام'!G47:G50, "يحتاج تعديل ❌")</f>
        <v>0</v>
      </c>
      <c r="G26" s="8">
        <f>COUNTIF('قائمة مهام تجربة النظام'!G47:G50, "لم تبدأ") + COUNTIF('قائمة مهام تجربة النظام'!G47:G50, "قيد التجربة")</f>
        <v>4</v>
      </c>
      <c r="H26" s="21">
        <f t="shared" si="0"/>
        <v>0</v>
      </c>
      <c r="I26" s="22"/>
      <c r="J26" s="22"/>
    </row>
  </sheetData>
  <mergeCells count="25">
    <mergeCell ref="H26:J26"/>
    <mergeCell ref="H20:J20"/>
    <mergeCell ref="B11:C12"/>
    <mergeCell ref="I10:J10"/>
    <mergeCell ref="D11:E12"/>
    <mergeCell ref="H25:J25"/>
    <mergeCell ref="H21:J21"/>
    <mergeCell ref="B2:J3"/>
    <mergeCell ref="H24:J24"/>
    <mergeCell ref="H18:J18"/>
    <mergeCell ref="H23:J23"/>
    <mergeCell ref="B10:C10"/>
    <mergeCell ref="I11:J12"/>
    <mergeCell ref="B4:J4"/>
    <mergeCell ref="H22:J22"/>
    <mergeCell ref="H19:J19"/>
    <mergeCell ref="B6:J8"/>
    <mergeCell ref="F11:G12"/>
    <mergeCell ref="H10"/>
    <mergeCell ref="B15:J15"/>
    <mergeCell ref="D10:E10"/>
    <mergeCell ref="F10:G10"/>
    <mergeCell ref="H17:J17"/>
    <mergeCell ref="H11:H12"/>
    <mergeCell ref="H16:J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rightToLeft="1" topLeftCell="D15" workbookViewId="0">
      <selection activeCell="G5" sqref="G5"/>
    </sheetView>
  </sheetViews>
  <sheetFormatPr defaultRowHeight="14.4" x14ac:dyDescent="0.3"/>
  <cols>
    <col min="1" max="1" width="6" customWidth="1"/>
    <col min="2" max="2" width="16" customWidth="1"/>
    <col min="3" max="3" width="10" customWidth="1"/>
    <col min="4" max="4" width="30" customWidth="1"/>
    <col min="5" max="5" width="26" customWidth="1"/>
    <col min="6" max="6" width="42" customWidth="1"/>
    <col min="7" max="7" width="18" customWidth="1"/>
    <col min="8" max="8" width="14" customWidth="1"/>
    <col min="9" max="9" width="16" customWidth="1"/>
    <col min="10" max="10" width="38" customWidth="1"/>
    <col min="11" max="11" width="26" customWidth="1"/>
  </cols>
  <sheetData>
    <row r="1" spans="1:11" x14ac:dyDescent="0.3">
      <c r="A1" s="26" t="s">
        <v>36</v>
      </c>
      <c r="B1" s="20"/>
      <c r="C1" s="20"/>
      <c r="D1" s="20"/>
      <c r="E1" s="20"/>
      <c r="F1" s="20"/>
      <c r="G1" s="20"/>
      <c r="H1" s="20"/>
      <c r="I1" s="20"/>
      <c r="J1" s="20"/>
      <c r="K1" s="20"/>
    </row>
    <row r="2" spans="1:11" x14ac:dyDescent="0.3">
      <c r="A2" s="20"/>
      <c r="B2" s="20"/>
      <c r="C2" s="20"/>
      <c r="D2" s="20"/>
      <c r="E2" s="20"/>
      <c r="F2" s="20"/>
      <c r="G2" s="20"/>
      <c r="H2" s="20"/>
      <c r="I2" s="20"/>
      <c r="J2" s="20"/>
      <c r="K2" s="20"/>
    </row>
    <row r="4" spans="1:11" x14ac:dyDescent="0.3">
      <c r="A4" s="1" t="s">
        <v>37</v>
      </c>
      <c r="B4" s="1" t="s">
        <v>9</v>
      </c>
      <c r="C4" s="1" t="s">
        <v>38</v>
      </c>
      <c r="D4" s="1" t="s">
        <v>39</v>
      </c>
      <c r="E4" s="1" t="s">
        <v>40</v>
      </c>
      <c r="F4" s="1" t="s">
        <v>41</v>
      </c>
      <c r="G4" s="1" t="s">
        <v>42</v>
      </c>
      <c r="H4" s="1" t="s">
        <v>43</v>
      </c>
      <c r="I4" s="1" t="s">
        <v>44</v>
      </c>
      <c r="J4" s="1" t="s">
        <v>45</v>
      </c>
      <c r="K4" s="1" t="s">
        <v>46</v>
      </c>
    </row>
    <row r="5" spans="1:11" ht="41.4" x14ac:dyDescent="0.3">
      <c r="A5" s="3">
        <v>1</v>
      </c>
      <c r="B5" s="3" t="s">
        <v>47</v>
      </c>
      <c r="C5" s="3" t="s">
        <v>48</v>
      </c>
      <c r="D5" s="4" t="s">
        <v>49</v>
      </c>
      <c r="E5" s="4" t="s">
        <v>50</v>
      </c>
      <c r="F5" s="4" t="s">
        <v>51</v>
      </c>
      <c r="G5" s="3" t="s">
        <v>52</v>
      </c>
      <c r="H5" s="9"/>
      <c r="I5" s="9"/>
      <c r="J5" s="4"/>
      <c r="K5" s="4"/>
    </row>
    <row r="6" spans="1:11" ht="27.6" x14ac:dyDescent="0.3">
      <c r="A6" s="6">
        <v>2</v>
      </c>
      <c r="B6" s="6" t="s">
        <v>47</v>
      </c>
      <c r="C6" s="6" t="s">
        <v>53</v>
      </c>
      <c r="D6" s="7" t="s">
        <v>54</v>
      </c>
      <c r="E6" s="7" t="s">
        <v>55</v>
      </c>
      <c r="F6" s="7" t="s">
        <v>56</v>
      </c>
      <c r="G6" s="6" t="s">
        <v>52</v>
      </c>
      <c r="H6" s="10"/>
      <c r="I6" s="10"/>
      <c r="J6" s="7"/>
      <c r="K6" s="7"/>
    </row>
    <row r="7" spans="1:11" ht="27.6" x14ac:dyDescent="0.3">
      <c r="A7" s="3">
        <v>3</v>
      </c>
      <c r="B7" s="3" t="s">
        <v>47</v>
      </c>
      <c r="C7" s="3" t="s">
        <v>57</v>
      </c>
      <c r="D7" s="4" t="s">
        <v>58</v>
      </c>
      <c r="E7" s="4" t="s">
        <v>59</v>
      </c>
      <c r="F7" s="4" t="s">
        <v>60</v>
      </c>
      <c r="G7" s="3" t="s">
        <v>52</v>
      </c>
      <c r="H7" s="9"/>
      <c r="I7" s="9"/>
      <c r="J7" s="4"/>
      <c r="K7" s="4"/>
    </row>
    <row r="8" spans="1:11" ht="27.6" x14ac:dyDescent="0.3">
      <c r="A8" s="6">
        <v>4</v>
      </c>
      <c r="B8" s="6" t="s">
        <v>47</v>
      </c>
      <c r="C8" s="6" t="s">
        <v>61</v>
      </c>
      <c r="D8" s="7" t="s">
        <v>62</v>
      </c>
      <c r="E8" s="7" t="s">
        <v>63</v>
      </c>
      <c r="F8" s="7" t="s">
        <v>64</v>
      </c>
      <c r="G8" s="6" t="s">
        <v>52</v>
      </c>
      <c r="H8" s="10"/>
      <c r="I8" s="10"/>
      <c r="J8" s="7"/>
      <c r="K8" s="7"/>
    </row>
    <row r="9" spans="1:11" ht="27.6" x14ac:dyDescent="0.3">
      <c r="A9" s="3">
        <v>5</v>
      </c>
      <c r="B9" s="3" t="s">
        <v>47</v>
      </c>
      <c r="C9" s="3" t="s">
        <v>65</v>
      </c>
      <c r="D9" s="4" t="s">
        <v>66</v>
      </c>
      <c r="E9" s="4" t="s">
        <v>67</v>
      </c>
      <c r="F9" s="4" t="s">
        <v>68</v>
      </c>
      <c r="G9" s="3" t="s">
        <v>52</v>
      </c>
      <c r="H9" s="9"/>
      <c r="I9" s="9"/>
      <c r="J9" s="4"/>
      <c r="K9" s="4"/>
    </row>
    <row r="10" spans="1:11" ht="27.6" x14ac:dyDescent="0.3">
      <c r="A10" s="6">
        <v>6</v>
      </c>
      <c r="B10" s="6" t="s">
        <v>47</v>
      </c>
      <c r="C10" s="6" t="s">
        <v>69</v>
      </c>
      <c r="D10" s="7" t="s">
        <v>70</v>
      </c>
      <c r="E10" s="7" t="s">
        <v>71</v>
      </c>
      <c r="F10" s="7" t="s">
        <v>72</v>
      </c>
      <c r="G10" s="6" t="s">
        <v>52</v>
      </c>
      <c r="H10" s="10"/>
      <c r="I10" s="10"/>
      <c r="J10" s="7"/>
      <c r="K10" s="7"/>
    </row>
    <row r="11" spans="1:11" ht="27.6" x14ac:dyDescent="0.3">
      <c r="A11" s="3">
        <v>7</v>
      </c>
      <c r="B11" s="3" t="s">
        <v>47</v>
      </c>
      <c r="C11" s="3" t="s">
        <v>73</v>
      </c>
      <c r="D11" s="4" t="s">
        <v>74</v>
      </c>
      <c r="E11" s="4" t="s">
        <v>75</v>
      </c>
      <c r="F11" s="4" t="s">
        <v>76</v>
      </c>
      <c r="G11" s="3" t="s">
        <v>52</v>
      </c>
      <c r="H11" s="9"/>
      <c r="I11" s="9"/>
      <c r="J11" s="4"/>
      <c r="K11" s="4"/>
    </row>
    <row r="12" spans="1:11" ht="27.6" x14ac:dyDescent="0.3">
      <c r="A12" s="6">
        <v>8</v>
      </c>
      <c r="B12" s="6" t="s">
        <v>47</v>
      </c>
      <c r="C12" s="6" t="s">
        <v>77</v>
      </c>
      <c r="D12" s="7" t="s">
        <v>78</v>
      </c>
      <c r="E12" s="7" t="s">
        <v>79</v>
      </c>
      <c r="F12" s="7" t="s">
        <v>80</v>
      </c>
      <c r="G12" s="6" t="s">
        <v>52</v>
      </c>
      <c r="H12" s="10"/>
      <c r="I12" s="10"/>
      <c r="J12" s="7"/>
      <c r="K12" s="7"/>
    </row>
    <row r="13" spans="1:11" ht="27.6" x14ac:dyDescent="0.3">
      <c r="A13" s="3">
        <v>9</v>
      </c>
      <c r="B13" s="3" t="s">
        <v>47</v>
      </c>
      <c r="C13" s="3" t="s">
        <v>81</v>
      </c>
      <c r="D13" s="4" t="s">
        <v>82</v>
      </c>
      <c r="E13" s="4" t="s">
        <v>83</v>
      </c>
      <c r="F13" s="4" t="s">
        <v>84</v>
      </c>
      <c r="G13" s="3" t="s">
        <v>52</v>
      </c>
      <c r="H13" s="9"/>
      <c r="I13" s="9"/>
      <c r="J13" s="4"/>
      <c r="K13" s="4"/>
    </row>
    <row r="14" spans="1:11" ht="27.6" x14ac:dyDescent="0.3">
      <c r="A14" s="6">
        <v>10</v>
      </c>
      <c r="B14" s="6" t="s">
        <v>85</v>
      </c>
      <c r="C14" s="6" t="s">
        <v>86</v>
      </c>
      <c r="D14" s="7" t="s">
        <v>87</v>
      </c>
      <c r="E14" s="7" t="s">
        <v>88</v>
      </c>
      <c r="F14" s="7" t="s">
        <v>89</v>
      </c>
      <c r="G14" s="6" t="s">
        <v>52</v>
      </c>
      <c r="H14" s="10"/>
      <c r="I14" s="10"/>
      <c r="J14" s="7"/>
      <c r="K14" s="7"/>
    </row>
    <row r="15" spans="1:11" ht="27.6" x14ac:dyDescent="0.3">
      <c r="A15" s="3">
        <v>11</v>
      </c>
      <c r="B15" s="3" t="s">
        <v>85</v>
      </c>
      <c r="C15" s="3" t="s">
        <v>90</v>
      </c>
      <c r="D15" s="4" t="s">
        <v>91</v>
      </c>
      <c r="E15" s="4" t="s">
        <v>92</v>
      </c>
      <c r="F15" s="4" t="s">
        <v>93</v>
      </c>
      <c r="G15" s="3" t="s">
        <v>52</v>
      </c>
      <c r="H15" s="9"/>
      <c r="I15" s="9"/>
      <c r="J15" s="4"/>
      <c r="K15" s="4"/>
    </row>
    <row r="16" spans="1:11" ht="27.6" x14ac:dyDescent="0.3">
      <c r="A16" s="6">
        <v>12</v>
      </c>
      <c r="B16" s="6" t="s">
        <v>85</v>
      </c>
      <c r="C16" s="6" t="s">
        <v>94</v>
      </c>
      <c r="D16" s="7" t="s">
        <v>95</v>
      </c>
      <c r="E16" s="7" t="s">
        <v>96</v>
      </c>
      <c r="F16" s="7" t="s">
        <v>97</v>
      </c>
      <c r="G16" s="6" t="s">
        <v>52</v>
      </c>
      <c r="H16" s="10"/>
      <c r="I16" s="10"/>
      <c r="J16" s="7"/>
      <c r="K16" s="7"/>
    </row>
    <row r="17" spans="1:11" ht="27.6" x14ac:dyDescent="0.3">
      <c r="A17" s="3">
        <v>13</v>
      </c>
      <c r="B17" s="3" t="s">
        <v>85</v>
      </c>
      <c r="C17" s="3" t="s">
        <v>98</v>
      </c>
      <c r="D17" s="4" t="s">
        <v>99</v>
      </c>
      <c r="E17" s="4" t="s">
        <v>100</v>
      </c>
      <c r="F17" s="4" t="s">
        <v>101</v>
      </c>
      <c r="G17" s="3" t="s">
        <v>52</v>
      </c>
      <c r="H17" s="9"/>
      <c r="I17" s="9"/>
      <c r="J17" s="4"/>
      <c r="K17" s="4"/>
    </row>
    <row r="18" spans="1:11" ht="27.6" x14ac:dyDescent="0.3">
      <c r="A18" s="6">
        <v>14</v>
      </c>
      <c r="B18" s="6" t="s">
        <v>85</v>
      </c>
      <c r="C18" s="6" t="s">
        <v>102</v>
      </c>
      <c r="D18" s="7" t="s">
        <v>103</v>
      </c>
      <c r="E18" s="7" t="s">
        <v>104</v>
      </c>
      <c r="F18" s="7" t="s">
        <v>105</v>
      </c>
      <c r="G18" s="6" t="s">
        <v>52</v>
      </c>
      <c r="H18" s="10"/>
      <c r="I18" s="10"/>
      <c r="J18" s="7"/>
      <c r="K18" s="7"/>
    </row>
    <row r="19" spans="1:11" ht="27.6" x14ac:dyDescent="0.3">
      <c r="A19" s="3">
        <v>15</v>
      </c>
      <c r="B19" s="3" t="s">
        <v>85</v>
      </c>
      <c r="C19" s="3" t="s">
        <v>106</v>
      </c>
      <c r="D19" s="4" t="s">
        <v>107</v>
      </c>
      <c r="E19" s="4" t="s">
        <v>108</v>
      </c>
      <c r="F19" s="4" t="s">
        <v>109</v>
      </c>
      <c r="G19" s="3" t="s">
        <v>52</v>
      </c>
      <c r="H19" s="9"/>
      <c r="I19" s="9"/>
      <c r="J19" s="4"/>
      <c r="K19" s="4"/>
    </row>
    <row r="20" spans="1:11" ht="27.6" x14ac:dyDescent="0.3">
      <c r="A20" s="6">
        <v>16</v>
      </c>
      <c r="B20" s="6" t="s">
        <v>85</v>
      </c>
      <c r="C20" s="6" t="s">
        <v>110</v>
      </c>
      <c r="D20" s="7" t="s">
        <v>111</v>
      </c>
      <c r="E20" s="7" t="s">
        <v>112</v>
      </c>
      <c r="F20" s="7" t="s">
        <v>113</v>
      </c>
      <c r="G20" s="6" t="s">
        <v>52</v>
      </c>
      <c r="H20" s="10"/>
      <c r="I20" s="10"/>
      <c r="J20" s="7"/>
      <c r="K20" s="7"/>
    </row>
    <row r="21" spans="1:11" ht="27.6" x14ac:dyDescent="0.3">
      <c r="A21" s="3">
        <v>17</v>
      </c>
      <c r="B21" s="3" t="s">
        <v>85</v>
      </c>
      <c r="C21" s="3" t="s">
        <v>114</v>
      </c>
      <c r="D21" s="4" t="s">
        <v>115</v>
      </c>
      <c r="E21" s="4" t="s">
        <v>116</v>
      </c>
      <c r="F21" s="4" t="s">
        <v>117</v>
      </c>
      <c r="G21" s="3" t="s">
        <v>52</v>
      </c>
      <c r="H21" s="9"/>
      <c r="I21" s="9"/>
      <c r="J21" s="4"/>
      <c r="K21" s="4"/>
    </row>
    <row r="22" spans="1:11" ht="27.6" x14ac:dyDescent="0.3">
      <c r="A22" s="6">
        <v>18</v>
      </c>
      <c r="B22" s="6" t="s">
        <v>118</v>
      </c>
      <c r="C22" s="6" t="s">
        <v>119</v>
      </c>
      <c r="D22" s="7" t="s">
        <v>120</v>
      </c>
      <c r="E22" s="7" t="s">
        <v>121</v>
      </c>
      <c r="F22" s="7" t="s">
        <v>122</v>
      </c>
      <c r="G22" s="6" t="s">
        <v>52</v>
      </c>
      <c r="H22" s="10"/>
      <c r="I22" s="10"/>
      <c r="J22" s="7"/>
      <c r="K22" s="7"/>
    </row>
    <row r="23" spans="1:11" ht="27.6" x14ac:dyDescent="0.3">
      <c r="A23" s="3">
        <v>19</v>
      </c>
      <c r="B23" s="3" t="s">
        <v>118</v>
      </c>
      <c r="C23" s="3" t="s">
        <v>123</v>
      </c>
      <c r="D23" s="4" t="s">
        <v>124</v>
      </c>
      <c r="E23" s="4" t="s">
        <v>125</v>
      </c>
      <c r="F23" s="4" t="s">
        <v>126</v>
      </c>
      <c r="G23" s="3" t="s">
        <v>52</v>
      </c>
      <c r="H23" s="9"/>
      <c r="I23" s="9"/>
      <c r="J23" s="4"/>
      <c r="K23" s="4"/>
    </row>
    <row r="24" spans="1:11" ht="27.6" x14ac:dyDescent="0.3">
      <c r="A24" s="6">
        <v>20</v>
      </c>
      <c r="B24" s="6" t="s">
        <v>127</v>
      </c>
      <c r="C24" s="6" t="s">
        <v>128</v>
      </c>
      <c r="D24" s="7" t="s">
        <v>129</v>
      </c>
      <c r="E24" s="7" t="s">
        <v>130</v>
      </c>
      <c r="F24" s="7" t="s">
        <v>131</v>
      </c>
      <c r="G24" s="6" t="s">
        <v>52</v>
      </c>
      <c r="H24" s="10"/>
      <c r="I24" s="10"/>
      <c r="J24" s="7"/>
      <c r="K24" s="7"/>
    </row>
    <row r="25" spans="1:11" ht="27.6" x14ac:dyDescent="0.3">
      <c r="A25" s="3">
        <v>21</v>
      </c>
      <c r="B25" s="3" t="s">
        <v>127</v>
      </c>
      <c r="C25" s="3" t="s">
        <v>132</v>
      </c>
      <c r="D25" s="4" t="s">
        <v>133</v>
      </c>
      <c r="E25" s="4" t="s">
        <v>134</v>
      </c>
      <c r="F25" s="4" t="s">
        <v>135</v>
      </c>
      <c r="G25" s="3" t="s">
        <v>52</v>
      </c>
      <c r="H25" s="9"/>
      <c r="I25" s="9"/>
      <c r="J25" s="4"/>
      <c r="K25" s="4"/>
    </row>
    <row r="26" spans="1:11" ht="27.6" x14ac:dyDescent="0.3">
      <c r="A26" s="6">
        <v>22</v>
      </c>
      <c r="B26" s="6" t="s">
        <v>127</v>
      </c>
      <c r="C26" s="6" t="s">
        <v>136</v>
      </c>
      <c r="D26" s="7" t="s">
        <v>137</v>
      </c>
      <c r="E26" s="7" t="s">
        <v>138</v>
      </c>
      <c r="F26" s="7" t="s">
        <v>139</v>
      </c>
      <c r="G26" s="6" t="s">
        <v>52</v>
      </c>
      <c r="H26" s="10"/>
      <c r="I26" s="10"/>
      <c r="J26" s="7"/>
      <c r="K26" s="7"/>
    </row>
    <row r="27" spans="1:11" ht="27.6" x14ac:dyDescent="0.3">
      <c r="A27" s="3">
        <v>23</v>
      </c>
      <c r="B27" s="3" t="s">
        <v>127</v>
      </c>
      <c r="C27" s="3" t="s">
        <v>140</v>
      </c>
      <c r="D27" s="4" t="s">
        <v>141</v>
      </c>
      <c r="E27" s="4" t="s">
        <v>142</v>
      </c>
      <c r="F27" s="4" t="s">
        <v>143</v>
      </c>
      <c r="G27" s="3" t="s">
        <v>52</v>
      </c>
      <c r="H27" s="9"/>
      <c r="I27" s="9"/>
      <c r="J27" s="4"/>
      <c r="K27" s="4"/>
    </row>
    <row r="28" spans="1:11" ht="27.6" x14ac:dyDescent="0.3">
      <c r="A28" s="6">
        <v>24</v>
      </c>
      <c r="B28" s="6" t="s">
        <v>144</v>
      </c>
      <c r="C28" s="6" t="s">
        <v>145</v>
      </c>
      <c r="D28" s="7" t="s">
        <v>146</v>
      </c>
      <c r="E28" s="7" t="s">
        <v>147</v>
      </c>
      <c r="F28" s="7" t="s">
        <v>148</v>
      </c>
      <c r="G28" s="6" t="s">
        <v>52</v>
      </c>
      <c r="H28" s="10"/>
      <c r="I28" s="10"/>
      <c r="J28" s="7"/>
      <c r="K28" s="7"/>
    </row>
    <row r="29" spans="1:11" ht="27.6" x14ac:dyDescent="0.3">
      <c r="A29" s="3">
        <v>25</v>
      </c>
      <c r="B29" s="3" t="s">
        <v>144</v>
      </c>
      <c r="C29" s="3" t="s">
        <v>149</v>
      </c>
      <c r="D29" s="4" t="s">
        <v>150</v>
      </c>
      <c r="E29" s="4" t="s">
        <v>151</v>
      </c>
      <c r="F29" s="4" t="s">
        <v>152</v>
      </c>
      <c r="G29" s="3" t="s">
        <v>52</v>
      </c>
      <c r="H29" s="9"/>
      <c r="I29" s="9"/>
      <c r="J29" s="4"/>
      <c r="K29" s="4"/>
    </row>
    <row r="30" spans="1:11" ht="27.6" x14ac:dyDescent="0.3">
      <c r="A30" s="6">
        <v>26</v>
      </c>
      <c r="B30" s="6" t="s">
        <v>153</v>
      </c>
      <c r="C30" s="6" t="s">
        <v>154</v>
      </c>
      <c r="D30" s="7" t="s">
        <v>155</v>
      </c>
      <c r="E30" s="7" t="s">
        <v>156</v>
      </c>
      <c r="F30" s="7" t="s">
        <v>157</v>
      </c>
      <c r="G30" s="6" t="s">
        <v>52</v>
      </c>
      <c r="H30" s="10"/>
      <c r="I30" s="10"/>
      <c r="J30" s="7"/>
      <c r="K30" s="7"/>
    </row>
    <row r="31" spans="1:11" ht="27.6" x14ac:dyDescent="0.3">
      <c r="A31" s="3">
        <v>27</v>
      </c>
      <c r="B31" s="3" t="s">
        <v>153</v>
      </c>
      <c r="C31" s="3" t="s">
        <v>158</v>
      </c>
      <c r="D31" s="4" t="s">
        <v>159</v>
      </c>
      <c r="E31" s="4" t="s">
        <v>160</v>
      </c>
      <c r="F31" s="4" t="s">
        <v>161</v>
      </c>
      <c r="G31" s="3" t="s">
        <v>52</v>
      </c>
      <c r="H31" s="9"/>
      <c r="I31" s="9"/>
      <c r="J31" s="4"/>
      <c r="K31" s="4"/>
    </row>
    <row r="32" spans="1:11" ht="27.6" x14ac:dyDescent="0.3">
      <c r="A32" s="6">
        <v>28</v>
      </c>
      <c r="B32" s="6" t="s">
        <v>153</v>
      </c>
      <c r="C32" s="6" t="s">
        <v>162</v>
      </c>
      <c r="D32" s="7" t="s">
        <v>163</v>
      </c>
      <c r="E32" s="7" t="s">
        <v>164</v>
      </c>
      <c r="F32" s="7" t="s">
        <v>165</v>
      </c>
      <c r="G32" s="6" t="s">
        <v>52</v>
      </c>
      <c r="H32" s="10"/>
      <c r="I32" s="10"/>
      <c r="J32" s="7"/>
      <c r="K32" s="7"/>
    </row>
    <row r="33" spans="1:11" ht="27.6" x14ac:dyDescent="0.3">
      <c r="A33" s="3">
        <v>29</v>
      </c>
      <c r="B33" s="3" t="s">
        <v>153</v>
      </c>
      <c r="C33" s="3" t="s">
        <v>166</v>
      </c>
      <c r="D33" s="4" t="s">
        <v>167</v>
      </c>
      <c r="E33" s="4" t="s">
        <v>168</v>
      </c>
      <c r="F33" s="4" t="s">
        <v>169</v>
      </c>
      <c r="G33" s="3" t="s">
        <v>52</v>
      </c>
      <c r="H33" s="9"/>
      <c r="I33" s="9"/>
      <c r="J33" s="4"/>
      <c r="K33" s="4"/>
    </row>
    <row r="34" spans="1:11" ht="27.6" x14ac:dyDescent="0.3">
      <c r="A34" s="6">
        <v>30</v>
      </c>
      <c r="B34" s="6" t="s">
        <v>170</v>
      </c>
      <c r="C34" s="6" t="s">
        <v>171</v>
      </c>
      <c r="D34" s="7" t="s">
        <v>172</v>
      </c>
      <c r="E34" s="7" t="s">
        <v>173</v>
      </c>
      <c r="F34" s="7" t="s">
        <v>174</v>
      </c>
      <c r="G34" s="6" t="s">
        <v>52</v>
      </c>
      <c r="H34" s="10"/>
      <c r="I34" s="10"/>
      <c r="J34" s="7"/>
      <c r="K34" s="7"/>
    </row>
    <row r="35" spans="1:11" ht="27.6" x14ac:dyDescent="0.3">
      <c r="A35" s="3">
        <v>31</v>
      </c>
      <c r="B35" s="3" t="s">
        <v>170</v>
      </c>
      <c r="C35" s="3" t="s">
        <v>175</v>
      </c>
      <c r="D35" s="4" t="s">
        <v>176</v>
      </c>
      <c r="E35" s="4" t="s">
        <v>177</v>
      </c>
      <c r="F35" s="4" t="s">
        <v>178</v>
      </c>
      <c r="G35" s="3" t="s">
        <v>52</v>
      </c>
      <c r="H35" s="9"/>
      <c r="I35" s="9"/>
      <c r="J35" s="4"/>
      <c r="K35" s="4"/>
    </row>
    <row r="36" spans="1:11" ht="27.6" x14ac:dyDescent="0.3">
      <c r="A36" s="6">
        <v>32</v>
      </c>
      <c r="B36" s="6" t="s">
        <v>170</v>
      </c>
      <c r="C36" s="6" t="s">
        <v>179</v>
      </c>
      <c r="D36" s="7" t="s">
        <v>180</v>
      </c>
      <c r="E36" s="7" t="s">
        <v>181</v>
      </c>
      <c r="F36" s="7" t="s">
        <v>182</v>
      </c>
      <c r="G36" s="6" t="s">
        <v>52</v>
      </c>
      <c r="H36" s="10"/>
      <c r="I36" s="10"/>
      <c r="J36" s="7"/>
      <c r="K36" s="7"/>
    </row>
    <row r="37" spans="1:11" ht="27.6" x14ac:dyDescent="0.3">
      <c r="A37" s="3">
        <v>33</v>
      </c>
      <c r="B37" s="3" t="s">
        <v>183</v>
      </c>
      <c r="C37" s="3" t="s">
        <v>184</v>
      </c>
      <c r="D37" s="4" t="s">
        <v>185</v>
      </c>
      <c r="E37" s="4" t="s">
        <v>186</v>
      </c>
      <c r="F37" s="4" t="s">
        <v>187</v>
      </c>
      <c r="G37" s="3" t="s">
        <v>52</v>
      </c>
      <c r="H37" s="9"/>
      <c r="I37" s="9"/>
      <c r="J37" s="4"/>
      <c r="K37" s="4"/>
    </row>
    <row r="38" spans="1:11" ht="27.6" x14ac:dyDescent="0.3">
      <c r="A38" s="6">
        <v>34</v>
      </c>
      <c r="B38" s="6" t="s">
        <v>183</v>
      </c>
      <c r="C38" s="6" t="s">
        <v>188</v>
      </c>
      <c r="D38" s="7" t="s">
        <v>189</v>
      </c>
      <c r="E38" s="7" t="s">
        <v>190</v>
      </c>
      <c r="F38" s="7" t="s">
        <v>191</v>
      </c>
      <c r="G38" s="6" t="s">
        <v>52</v>
      </c>
      <c r="H38" s="10"/>
      <c r="I38" s="10"/>
      <c r="J38" s="7"/>
      <c r="K38" s="7"/>
    </row>
    <row r="39" spans="1:11" ht="27.6" x14ac:dyDescent="0.3">
      <c r="A39" s="3">
        <v>35</v>
      </c>
      <c r="B39" s="3" t="s">
        <v>183</v>
      </c>
      <c r="C39" s="3" t="s">
        <v>192</v>
      </c>
      <c r="D39" s="4" t="s">
        <v>193</v>
      </c>
      <c r="E39" s="4" t="s">
        <v>194</v>
      </c>
      <c r="F39" s="4" t="s">
        <v>195</v>
      </c>
      <c r="G39" s="3" t="s">
        <v>52</v>
      </c>
      <c r="H39" s="9"/>
      <c r="I39" s="9"/>
      <c r="J39" s="4"/>
      <c r="K39" s="4"/>
    </row>
    <row r="40" spans="1:11" ht="27.6" x14ac:dyDescent="0.3">
      <c r="A40" s="6">
        <v>36</v>
      </c>
      <c r="B40" s="6" t="s">
        <v>183</v>
      </c>
      <c r="C40" s="6" t="s">
        <v>196</v>
      </c>
      <c r="D40" s="7" t="s">
        <v>197</v>
      </c>
      <c r="E40" s="7" t="s">
        <v>198</v>
      </c>
      <c r="F40" s="7" t="s">
        <v>199</v>
      </c>
      <c r="G40" s="6" t="s">
        <v>52</v>
      </c>
      <c r="H40" s="10"/>
      <c r="I40" s="10"/>
      <c r="J40" s="7"/>
      <c r="K40" s="7"/>
    </row>
    <row r="41" spans="1:11" ht="27.6" x14ac:dyDescent="0.3">
      <c r="A41" s="3">
        <v>37</v>
      </c>
      <c r="B41" s="3" t="s">
        <v>183</v>
      </c>
      <c r="C41" s="3" t="s">
        <v>200</v>
      </c>
      <c r="D41" s="4" t="s">
        <v>201</v>
      </c>
      <c r="E41" s="4" t="s">
        <v>202</v>
      </c>
      <c r="F41" s="4" t="s">
        <v>203</v>
      </c>
      <c r="G41" s="3" t="s">
        <v>52</v>
      </c>
      <c r="H41" s="9"/>
      <c r="I41" s="9"/>
      <c r="J41" s="4"/>
      <c r="K41" s="4"/>
    </row>
    <row r="42" spans="1:11" ht="27.6" x14ac:dyDescent="0.3">
      <c r="A42" s="6">
        <v>38</v>
      </c>
      <c r="B42" s="6" t="s">
        <v>204</v>
      </c>
      <c r="C42" s="6" t="s">
        <v>205</v>
      </c>
      <c r="D42" s="7" t="s">
        <v>206</v>
      </c>
      <c r="E42" s="7" t="s">
        <v>207</v>
      </c>
      <c r="F42" s="7" t="s">
        <v>208</v>
      </c>
      <c r="G42" s="6" t="s">
        <v>52</v>
      </c>
      <c r="H42" s="10"/>
      <c r="I42" s="10"/>
      <c r="J42" s="7"/>
      <c r="K42" s="7"/>
    </row>
    <row r="43" spans="1:11" ht="27.6" x14ac:dyDescent="0.3">
      <c r="A43" s="3">
        <v>39</v>
      </c>
      <c r="B43" s="3" t="s">
        <v>204</v>
      </c>
      <c r="C43" s="3" t="s">
        <v>209</v>
      </c>
      <c r="D43" s="4" t="s">
        <v>210</v>
      </c>
      <c r="E43" s="4" t="s">
        <v>211</v>
      </c>
      <c r="F43" s="4" t="s">
        <v>212</v>
      </c>
      <c r="G43" s="3" t="s">
        <v>52</v>
      </c>
      <c r="H43" s="9"/>
      <c r="I43" s="9"/>
      <c r="J43" s="4"/>
      <c r="K43" s="4"/>
    </row>
    <row r="44" spans="1:11" ht="27.6" x14ac:dyDescent="0.3">
      <c r="A44" s="6">
        <v>40</v>
      </c>
      <c r="B44" s="6" t="s">
        <v>204</v>
      </c>
      <c r="C44" s="6" t="s">
        <v>213</v>
      </c>
      <c r="D44" s="7" t="s">
        <v>214</v>
      </c>
      <c r="E44" s="7" t="s">
        <v>215</v>
      </c>
      <c r="F44" s="7" t="s">
        <v>216</v>
      </c>
      <c r="G44" s="6" t="s">
        <v>52</v>
      </c>
      <c r="H44" s="10"/>
      <c r="I44" s="10"/>
      <c r="J44" s="7"/>
      <c r="K44" s="7"/>
    </row>
    <row r="45" spans="1:11" ht="27.6" x14ac:dyDescent="0.3">
      <c r="A45" s="3">
        <v>41</v>
      </c>
      <c r="B45" s="3" t="s">
        <v>204</v>
      </c>
      <c r="C45" s="3" t="s">
        <v>217</v>
      </c>
      <c r="D45" s="4" t="s">
        <v>218</v>
      </c>
      <c r="E45" s="4" t="s">
        <v>219</v>
      </c>
      <c r="F45" s="4" t="s">
        <v>220</v>
      </c>
      <c r="G45" s="3" t="s">
        <v>52</v>
      </c>
      <c r="H45" s="9"/>
      <c r="I45" s="9"/>
      <c r="J45" s="4"/>
      <c r="K45" s="4"/>
    </row>
    <row r="46" spans="1:11" ht="27.6" x14ac:dyDescent="0.3">
      <c r="A46" s="6">
        <v>42</v>
      </c>
      <c r="B46" s="6" t="s">
        <v>204</v>
      </c>
      <c r="C46" s="6" t="s">
        <v>221</v>
      </c>
      <c r="D46" s="7" t="s">
        <v>222</v>
      </c>
      <c r="E46" s="7" t="s">
        <v>223</v>
      </c>
      <c r="F46" s="7" t="s">
        <v>224</v>
      </c>
      <c r="G46" s="6" t="s">
        <v>52</v>
      </c>
      <c r="H46" s="10"/>
      <c r="I46" s="10"/>
      <c r="J46" s="7"/>
      <c r="K46" s="7"/>
    </row>
    <row r="47" spans="1:11" ht="27.6" x14ac:dyDescent="0.3">
      <c r="A47" s="3">
        <v>43</v>
      </c>
      <c r="B47" s="3" t="s">
        <v>225</v>
      </c>
      <c r="C47" s="3" t="s">
        <v>226</v>
      </c>
      <c r="D47" s="4" t="s">
        <v>227</v>
      </c>
      <c r="E47" s="4" t="s">
        <v>228</v>
      </c>
      <c r="F47" s="4" t="s">
        <v>229</v>
      </c>
      <c r="G47" s="3" t="s">
        <v>52</v>
      </c>
      <c r="H47" s="9"/>
      <c r="I47" s="9"/>
      <c r="J47" s="4"/>
      <c r="K47" s="4"/>
    </row>
    <row r="48" spans="1:11" ht="27.6" x14ac:dyDescent="0.3">
      <c r="A48" s="6">
        <v>44</v>
      </c>
      <c r="B48" s="6" t="s">
        <v>225</v>
      </c>
      <c r="C48" s="6" t="s">
        <v>230</v>
      </c>
      <c r="D48" s="7" t="s">
        <v>231</v>
      </c>
      <c r="E48" s="7" t="s">
        <v>232</v>
      </c>
      <c r="F48" s="7" t="s">
        <v>233</v>
      </c>
      <c r="G48" s="6" t="s">
        <v>52</v>
      </c>
      <c r="H48" s="10"/>
      <c r="I48" s="10"/>
      <c r="J48" s="7"/>
      <c r="K48" s="7"/>
    </row>
    <row r="49" spans="1:11" ht="27.6" x14ac:dyDescent="0.3">
      <c r="A49" s="3">
        <v>45</v>
      </c>
      <c r="B49" s="3" t="s">
        <v>225</v>
      </c>
      <c r="C49" s="3" t="s">
        <v>234</v>
      </c>
      <c r="D49" s="4" t="s">
        <v>235</v>
      </c>
      <c r="E49" s="4" t="s">
        <v>236</v>
      </c>
      <c r="F49" s="4" t="s">
        <v>237</v>
      </c>
      <c r="G49" s="3" t="s">
        <v>52</v>
      </c>
      <c r="H49" s="9"/>
      <c r="I49" s="9"/>
      <c r="J49" s="4"/>
      <c r="K49" s="4"/>
    </row>
    <row r="50" spans="1:11" ht="27.6" x14ac:dyDescent="0.3">
      <c r="A50" s="6">
        <v>46</v>
      </c>
      <c r="B50" s="6" t="s">
        <v>225</v>
      </c>
      <c r="C50" s="6" t="s">
        <v>238</v>
      </c>
      <c r="D50" s="7" t="s">
        <v>239</v>
      </c>
      <c r="E50" s="7" t="s">
        <v>240</v>
      </c>
      <c r="F50" s="7" t="s">
        <v>241</v>
      </c>
      <c r="G50" s="6" t="s">
        <v>52</v>
      </c>
      <c r="H50" s="10"/>
      <c r="I50" s="10"/>
      <c r="J50" s="7"/>
      <c r="K50" s="7"/>
    </row>
  </sheetData>
  <autoFilter ref="A4:K50" xr:uid="{00000000-0009-0000-0000-000001000000}"/>
  <mergeCells count="1">
    <mergeCell ref="A1:K2"/>
  </mergeCells>
  <dataValidations count="1">
    <dataValidation type="list" allowBlank="1" sqref="G5 G6 G7 G8 G9 G10 G11 G12 G13 G14 G15 G16 G17 G18 G19 G20 G21 G22 G23 G24 G25 G26 G27 G28 G29 G30 G31 G32 G33 G34 G35 G36 G37 G38 G39 G40 G41 G42 G43 G44 G45 G46 G47 G48 G49 G50" xr:uid="{00000000-0002-0000-0100-000000000000}">
      <formula1>"لم تبدأ,قيد التجربة,تم بنجاح ✅,يوجد ملاحظة ⚠️,يحتاج تعديل ❌"</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
  <sheetViews>
    <sheetView rightToLeft="1" tabSelected="1" workbookViewId="0">
      <selection activeCell="D21" sqref="D21"/>
    </sheetView>
  </sheetViews>
  <sheetFormatPr defaultRowHeight="14.4" x14ac:dyDescent="0.3"/>
  <cols>
    <col min="1" max="1" width="28" customWidth="1"/>
    <col min="2" max="4" width="25" customWidth="1"/>
    <col min="5" max="7" width="30" customWidth="1"/>
  </cols>
  <sheetData>
    <row r="1" spans="1:7" x14ac:dyDescent="0.3">
      <c r="A1" s="26" t="s">
        <v>242</v>
      </c>
      <c r="B1" s="20"/>
      <c r="C1" s="20"/>
      <c r="D1" s="20"/>
      <c r="E1" s="20"/>
      <c r="F1" s="20"/>
      <c r="G1" s="20"/>
    </row>
    <row r="2" spans="1:7" x14ac:dyDescent="0.3">
      <c r="A2" s="20"/>
      <c r="B2" s="20"/>
      <c r="C2" s="20"/>
      <c r="D2" s="20"/>
      <c r="E2" s="20"/>
      <c r="F2" s="20"/>
      <c r="G2" s="20"/>
    </row>
    <row r="4" spans="1:7" x14ac:dyDescent="0.3">
      <c r="A4" s="2" t="s">
        <v>9</v>
      </c>
      <c r="B4" s="19" t="s">
        <v>243</v>
      </c>
      <c r="C4" s="20"/>
      <c r="D4" s="20"/>
      <c r="E4" s="19" t="s">
        <v>244</v>
      </c>
      <c r="F4" s="20"/>
      <c r="G4" s="20"/>
    </row>
    <row r="5" spans="1:7" x14ac:dyDescent="0.3">
      <c r="A5" s="11" t="s">
        <v>245</v>
      </c>
      <c r="B5" s="31" t="s">
        <v>246</v>
      </c>
      <c r="C5" s="17"/>
      <c r="D5" s="17"/>
      <c r="E5" s="31" t="s">
        <v>247</v>
      </c>
      <c r="F5" s="17"/>
      <c r="G5" s="17"/>
    </row>
    <row r="6" spans="1:7" x14ac:dyDescent="0.3">
      <c r="A6" s="12" t="s">
        <v>248</v>
      </c>
      <c r="B6" s="32" t="s">
        <v>249</v>
      </c>
      <c r="C6" s="22"/>
      <c r="D6" s="22"/>
      <c r="E6" s="32" t="s">
        <v>250</v>
      </c>
      <c r="F6" s="22"/>
      <c r="G6" s="22"/>
    </row>
    <row r="7" spans="1:7" x14ac:dyDescent="0.3">
      <c r="A7" s="11" t="s">
        <v>251</v>
      </c>
      <c r="B7" s="31" t="s">
        <v>252</v>
      </c>
      <c r="C7" s="17"/>
      <c r="D7" s="17"/>
      <c r="E7" s="31" t="s">
        <v>253</v>
      </c>
      <c r="F7" s="17"/>
      <c r="G7" s="17"/>
    </row>
    <row r="8" spans="1:7" ht="27.6" x14ac:dyDescent="0.3">
      <c r="A8" s="12" t="s">
        <v>254</v>
      </c>
      <c r="B8" s="32" t="s">
        <v>255</v>
      </c>
      <c r="C8" s="22"/>
      <c r="D8" s="22"/>
      <c r="E8" s="32" t="s">
        <v>256</v>
      </c>
      <c r="F8" s="22"/>
      <c r="G8" s="22"/>
    </row>
    <row r="9" spans="1:7" x14ac:dyDescent="0.3">
      <c r="A9" s="11" t="s">
        <v>257</v>
      </c>
      <c r="B9" s="31" t="s">
        <v>258</v>
      </c>
      <c r="C9" s="17"/>
      <c r="D9" s="17"/>
      <c r="E9" s="31" t="s">
        <v>259</v>
      </c>
      <c r="F9" s="17"/>
      <c r="G9" s="17"/>
    </row>
    <row r="10" spans="1:7" x14ac:dyDescent="0.3">
      <c r="A10" s="12" t="s">
        <v>260</v>
      </c>
      <c r="B10" s="32" t="s">
        <v>261</v>
      </c>
      <c r="C10" s="22"/>
      <c r="D10" s="22"/>
      <c r="E10" s="32" t="s">
        <v>262</v>
      </c>
      <c r="F10" s="22"/>
      <c r="G10" s="22"/>
    </row>
    <row r="11" spans="1:7" x14ac:dyDescent="0.3">
      <c r="A11" s="11" t="s">
        <v>263</v>
      </c>
      <c r="B11" s="31" t="s">
        <v>264</v>
      </c>
      <c r="C11" s="17"/>
      <c r="D11" s="17"/>
      <c r="E11" s="31" t="s">
        <v>265</v>
      </c>
      <c r="F11" s="17"/>
      <c r="G11" s="17"/>
    </row>
    <row r="12" spans="1:7" x14ac:dyDescent="0.3">
      <c r="A12" s="12" t="s">
        <v>266</v>
      </c>
      <c r="B12" s="32" t="s">
        <v>267</v>
      </c>
      <c r="C12" s="22"/>
      <c r="D12" s="22"/>
      <c r="E12" s="32" t="s">
        <v>268</v>
      </c>
      <c r="F12" s="22"/>
      <c r="G12" s="22"/>
    </row>
    <row r="13" spans="1:7" x14ac:dyDescent="0.3">
      <c r="A13" s="11" t="s">
        <v>269</v>
      </c>
      <c r="B13" s="31" t="s">
        <v>270</v>
      </c>
      <c r="C13" s="17"/>
      <c r="D13" s="17"/>
      <c r="E13" s="31" t="s">
        <v>271</v>
      </c>
      <c r="F13" s="17"/>
      <c r="G13" s="17"/>
    </row>
    <row r="14" spans="1:7" x14ac:dyDescent="0.3">
      <c r="A14" s="12" t="s">
        <v>272</v>
      </c>
      <c r="B14" s="32" t="s">
        <v>273</v>
      </c>
      <c r="C14" s="22"/>
      <c r="D14" s="22"/>
      <c r="E14" s="32" t="s">
        <v>274</v>
      </c>
      <c r="F14" s="22"/>
      <c r="G14" s="22"/>
    </row>
  </sheetData>
  <mergeCells count="23">
    <mergeCell ref="E4:G4"/>
    <mergeCell ref="B12:D12"/>
    <mergeCell ref="E12:G12"/>
    <mergeCell ref="B7:D7"/>
    <mergeCell ref="E14:G14"/>
    <mergeCell ref="E5:G5"/>
    <mergeCell ref="E8:G8"/>
    <mergeCell ref="B11:D11"/>
    <mergeCell ref="E10:G10"/>
    <mergeCell ref="B14:D14"/>
    <mergeCell ref="E13:G13"/>
    <mergeCell ref="A1:G2"/>
    <mergeCell ref="B8:D8"/>
    <mergeCell ref="B13:D13"/>
    <mergeCell ref="E9:G9"/>
    <mergeCell ref="E6:G6"/>
    <mergeCell ref="B10:D10"/>
    <mergeCell ref="E11:G11"/>
    <mergeCell ref="B9:D9"/>
    <mergeCell ref="E7:G7"/>
    <mergeCell ref="B6:D6"/>
    <mergeCell ref="B5:D5"/>
    <mergeCell ref="B4:D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لوحة المتابعة ونسبة الإنجاز</vt:lpstr>
      <vt:lpstr>قائمة مهام تجربة النظام</vt:lpstr>
      <vt:lpstr>دليل سيناريو التجربة السريعة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Sorour</cp:lastModifiedBy>
  <dcterms:created xsi:type="dcterms:W3CDTF">2026-09-02T13:45:36Z</dcterms:created>
  <dcterms:modified xsi:type="dcterms:W3CDTF">2026-09-02T14:05:56Z</dcterms:modified>
</cp:coreProperties>
</file>